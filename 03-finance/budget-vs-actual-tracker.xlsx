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nnual Budget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Comment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SAR&quot;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A0E12"/>
      <sz val="11"/>
    </font>
    <font>
      <name val="Arial"/>
      <b val="1"/>
      <color rgb="002D6E8A"/>
      <sz val="11"/>
    </font>
    <font>
      <name val="Arial"/>
      <color rgb="000A0E12"/>
      <sz val="11"/>
    </font>
    <font>
      <name val="Arial"/>
      <b val="1"/>
      <color rgb="00FFFFFF"/>
      <sz val="11"/>
    </font>
    <font>
      <name val="Arial"/>
      <i val="1"/>
      <color rgb="00555555"/>
      <sz val="11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A0E12"/>
      <sz val="10"/>
    </font>
    <font>
      <name val="Arial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5F2ED"/>
      </patternFill>
    </fill>
    <fill>
      <patternFill patternType="solid">
        <fgColor rgb="00FFFFFF"/>
      </patternFill>
    </fill>
    <fill>
      <patternFill patternType="solid">
        <fgColor rgb="00C8A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6" fillId="4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164" fontId="10" fillId="4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164" fontId="10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4" borderId="0" pivotButton="0" quotePrefix="0" xfId="0"/>
    <xf numFmtId="165" fontId="10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right" vertical="center"/>
    </xf>
    <xf numFmtId="0" fontId="10" fillId="3" borderId="0" pivotButton="0" quotePrefix="0" xfId="0"/>
    <xf numFmtId="165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right" vertical="center"/>
    </xf>
    <xf numFmtId="0" fontId="9" fillId="2" borderId="0" pivotButton="0" quotePrefix="0" xfId="0"/>
    <xf numFmtId="0" fontId="10" fillId="3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color rgb="00C0392B"/>
      </font>
      <fill>
        <patternFill patternType="solid">
          <fgColor rgb="00FADBD8"/>
        </patternFill>
      </fill>
    </dxf>
    <dxf>
      <font>
        <name val="Arial"/>
        <color rgb="00E67E22"/>
      </font>
      <fill>
        <patternFill patternType="solid">
          <fgColor rgb="00FDEBD0"/>
        </patternFill>
      </fill>
    </dxf>
    <dxf>
      <font>
        <name val="Arial"/>
        <color rgb="0027AE60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2" customWidth="1" min="4" max="4"/>
  </cols>
  <sheetData>
    <row r="1" ht="28" customHeight="1">
      <c r="A1" s="1" t="inlineStr">
        <is>
          <t>FLY GACA — Budget vs Actual Tracker — Setup</t>
        </is>
      </c>
    </row>
    <row r="3">
      <c r="A3" s="2" t="inlineStr">
        <is>
          <t>Fiscal Year:</t>
        </is>
      </c>
      <c r="B3" s="3" t="inlineStr">
        <is>
          <t>FY2026-27 (Apr 2026 – Mar 2027)</t>
        </is>
      </c>
    </row>
    <row r="4">
      <c r="A4" s="2" t="inlineStr">
        <is>
          <t>Currency:</t>
        </is>
      </c>
      <c r="B4" s="4" t="inlineStr">
        <is>
          <t>SAR primary  |  1 USD = 3.75 SAR reference</t>
        </is>
      </c>
    </row>
    <row r="5">
      <c r="A5" s="2" t="inlineStr">
        <is>
          <t>Last Updated:</t>
        </is>
      </c>
      <c r="B5" s="4" t="inlineStr">
        <is>
          <t>May 2026</t>
        </is>
      </c>
    </row>
    <row r="6">
      <c r="A6" s="2" t="inlineStr">
        <is>
          <t>Owner:</t>
        </is>
      </c>
      <c r="B6" s="4" t="inlineStr">
        <is>
          <t>Captain Adel Yahya A. Madkhali — Founder</t>
        </is>
      </c>
    </row>
    <row r="8" ht="20" customHeight="1">
      <c r="A8" s="5" t="inlineStr">
        <is>
          <t>COST CENTERS</t>
        </is>
      </c>
      <c r="B8" s="5" t="inlineStr">
        <is>
          <t>Owner</t>
        </is>
      </c>
      <c r="C8" s="5" t="inlineStr">
        <is>
          <t>Department</t>
        </is>
      </c>
      <c r="D8" s="5" t="inlineStr">
        <is>
          <t>Notes</t>
        </is>
      </c>
    </row>
    <row r="9">
      <c r="A9" s="6" t="inlineStr">
        <is>
          <t>CC-ENG</t>
        </is>
      </c>
      <c r="B9" s="7" t="inlineStr">
        <is>
          <t>Captain Adel / CTO (TBH)</t>
        </is>
      </c>
      <c r="C9" s="7" t="inlineStr">
        <is>
          <t>Engineering</t>
        </is>
      </c>
      <c r="D9" s="8" t="inlineStr">
        <is>
          <t>API, cloud, dev salaries</t>
        </is>
      </c>
    </row>
    <row r="10">
      <c r="A10" s="9" t="inlineStr">
        <is>
          <t>CC-PROD</t>
        </is>
      </c>
      <c r="B10" s="10" t="inlineStr">
        <is>
          <t>Captain Adel</t>
        </is>
      </c>
      <c r="C10" s="10" t="inlineStr">
        <is>
          <t>Product</t>
        </is>
      </c>
      <c r="D10" s="11" t="inlineStr">
        <is>
          <t>Design, UX, product management</t>
        </is>
      </c>
    </row>
    <row r="11">
      <c r="A11" s="6" t="inlineStr">
        <is>
          <t>CC-MKT</t>
        </is>
      </c>
      <c r="B11" s="7" t="inlineStr">
        <is>
          <t>Captain Adel / CMO (TBH)</t>
        </is>
      </c>
      <c r="C11" s="7" t="inlineStr">
        <is>
          <t>Marketing &amp; GTM</t>
        </is>
      </c>
      <c r="D11" s="8" t="inlineStr">
        <is>
          <t>Digital ads, events, content</t>
        </is>
      </c>
    </row>
    <row r="12">
      <c r="A12" s="9" t="inlineStr">
        <is>
          <t>CC-CS</t>
        </is>
      </c>
      <c r="B12" s="10" t="inlineStr">
        <is>
          <t>Captain Adel / CS Lead (TBH)</t>
        </is>
      </c>
      <c r="C12" s="10" t="inlineStr">
        <is>
          <t>Customer Success</t>
        </is>
      </c>
      <c r="D12" s="11" t="inlineStr">
        <is>
          <t>Onboarding, support, retention</t>
        </is>
      </c>
    </row>
    <row r="13">
      <c r="A13" s="6" t="inlineStr">
        <is>
          <t>CC-OPS</t>
        </is>
      </c>
      <c r="B13" s="7" t="inlineStr">
        <is>
          <t>Captain Adel / COO (TBH)</t>
        </is>
      </c>
      <c r="C13" s="7" t="inlineStr">
        <is>
          <t>Operations &amp; Admin</t>
        </is>
      </c>
      <c r="D13" s="8" t="inlineStr">
        <is>
          <t>Office, legal, compliance</t>
        </is>
      </c>
    </row>
    <row r="14">
      <c r="A14" s="9" t="inlineStr">
        <is>
          <t>CC-FIN</t>
        </is>
      </c>
      <c r="B14" s="10" t="inlineStr">
        <is>
          <t>Captain Adel / CFO (TBH)</t>
        </is>
      </c>
      <c r="C14" s="10" t="inlineStr">
        <is>
          <t>Finance</t>
        </is>
      </c>
      <c r="D14" s="11" t="inlineStr">
        <is>
          <t>Accounting, audit, banking</t>
        </is>
      </c>
    </row>
    <row r="15">
      <c r="A15" s="6" t="inlineStr">
        <is>
          <t>CC-REV</t>
        </is>
      </c>
      <c r="B15" s="7" t="inlineStr">
        <is>
          <t>Captain Adel</t>
        </is>
      </c>
      <c r="C15" s="7" t="inlineStr">
        <is>
          <t>Revenue</t>
        </is>
      </c>
      <c r="D15" s="8" t="inlineStr">
        <is>
          <t>All revenue lines consolidated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xSplit="4" ySplit="3" topLeftCell="E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2" t="inlineStr">
        <is>
          <t>FLY GACA — Annual Budget FY2026-27</t>
        </is>
      </c>
    </row>
    <row r="2">
      <c r="A2" s="13" t="inlineStr">
        <is>
          <t>All figures in SAR  |  Import from approved budget model  |  Lock after board approval</t>
        </is>
      </c>
    </row>
    <row r="3" ht="24" customHeight="1">
      <c r="A3" s="14" t="inlineStr">
        <is>
          <t>Account Code</t>
        </is>
      </c>
      <c r="B3" s="14" t="inlineStr">
        <is>
          <t>Account Name</t>
        </is>
      </c>
      <c r="C3" s="14" t="inlineStr">
        <is>
          <t>Cost Center</t>
        </is>
      </c>
      <c r="D3" s="14" t="inlineStr">
        <is>
          <t>Annual Total</t>
        </is>
      </c>
      <c r="E3" s="14" t="inlineStr">
        <is>
          <t>Apr-26</t>
        </is>
      </c>
      <c r="F3" s="14" t="inlineStr">
        <is>
          <t>May-26</t>
        </is>
      </c>
      <c r="G3" s="14" t="inlineStr">
        <is>
          <t>Jun-26</t>
        </is>
      </c>
      <c r="H3" s="14" t="inlineStr">
        <is>
          <t>Jul-26</t>
        </is>
      </c>
      <c r="I3" s="14" t="inlineStr">
        <is>
          <t>Aug-26</t>
        </is>
      </c>
      <c r="J3" s="14" t="inlineStr">
        <is>
          <t>Sep-26</t>
        </is>
      </c>
      <c r="K3" s="14" t="inlineStr">
        <is>
          <t>Oct-26</t>
        </is>
      </c>
      <c r="L3" s="14" t="inlineStr">
        <is>
          <t>Nov-26</t>
        </is>
      </c>
      <c r="M3" s="14" t="inlineStr">
        <is>
          <t>Dec-26</t>
        </is>
      </c>
      <c r="N3" s="14" t="inlineStr">
        <is>
          <t>Jan-27</t>
        </is>
      </c>
      <c r="O3" s="14" t="inlineStr">
        <is>
          <t>Feb-27</t>
        </is>
      </c>
      <c r="P3" s="14" t="inlineStr">
        <is>
          <t>Mar-27</t>
        </is>
      </c>
    </row>
    <row r="4">
      <c r="A4" s="15" t="inlineStr">
        <is>
          <t>REVENUE</t>
        </is>
      </c>
    </row>
    <row r="5">
      <c r="A5" s="16" t="inlineStr">
        <is>
          <t>4100</t>
        </is>
      </c>
      <c r="B5" s="17" t="inlineStr">
        <is>
          <t>Pro Subscriptions — Monthly</t>
        </is>
      </c>
      <c r="C5" s="16" t="inlineStr">
        <is>
          <t>CC-REV</t>
        </is>
      </c>
      <c r="D5" s="18" t="n">
        <v>970000</v>
      </c>
      <c r="E5" s="18" t="n">
        <v>50000</v>
      </c>
      <c r="F5" s="18" t="n">
        <v>55000</v>
      </c>
      <c r="G5" s="18" t="n">
        <v>60000</v>
      </c>
      <c r="H5" s="18" t="n">
        <v>65000</v>
      </c>
      <c r="I5" s="18" t="n">
        <v>70000</v>
      </c>
      <c r="J5" s="18" t="n">
        <v>75000</v>
      </c>
      <c r="K5" s="18" t="n">
        <v>82000</v>
      </c>
      <c r="L5" s="18" t="n">
        <v>88000</v>
      </c>
      <c r="M5" s="18" t="n">
        <v>95000</v>
      </c>
      <c r="N5" s="18" t="n">
        <v>102000</v>
      </c>
      <c r="O5" s="18" t="n">
        <v>110000</v>
      </c>
      <c r="P5" s="18" t="n">
        <v>118000</v>
      </c>
    </row>
    <row r="6">
      <c r="A6" s="19" t="inlineStr">
        <is>
          <t>4110</t>
        </is>
      </c>
      <c r="B6" s="20" t="inlineStr">
        <is>
          <t>Pro Subscriptions — Annual</t>
        </is>
      </c>
      <c r="C6" s="19" t="inlineStr">
        <is>
          <t>CC-REV</t>
        </is>
      </c>
      <c r="D6" s="21" t="n">
        <v>316000</v>
      </c>
      <c r="E6" s="21" t="n">
        <v>20000</v>
      </c>
      <c r="F6" s="21" t="n">
        <v>20000</v>
      </c>
      <c r="G6" s="21" t="n">
        <v>22000</v>
      </c>
      <c r="H6" s="21" t="n">
        <v>22000</v>
      </c>
      <c r="I6" s="21" t="n">
        <v>25000</v>
      </c>
      <c r="J6" s="21" t="n">
        <v>25000</v>
      </c>
      <c r="K6" s="21" t="n">
        <v>28000</v>
      </c>
      <c r="L6" s="21" t="n">
        <v>28000</v>
      </c>
      <c r="M6" s="21" t="n">
        <v>30000</v>
      </c>
      <c r="N6" s="21" t="n">
        <v>30000</v>
      </c>
      <c r="O6" s="21" t="n">
        <v>33000</v>
      </c>
      <c r="P6" s="21" t="n">
        <v>33000</v>
      </c>
    </row>
    <row r="7">
      <c r="A7" s="16" t="inlineStr">
        <is>
          <t>4200</t>
        </is>
      </c>
      <c r="B7" s="17" t="inlineStr">
        <is>
          <t>Academy Contracts — B2B</t>
        </is>
      </c>
      <c r="C7" s="16" t="inlineStr">
        <is>
          <t>CC-REV</t>
        </is>
      </c>
      <c r="D7" s="18" t="n">
        <v>1260000</v>
      </c>
      <c r="E7" s="18" t="n">
        <v>80000</v>
      </c>
      <c r="F7" s="18" t="n">
        <v>80000</v>
      </c>
      <c r="G7" s="18" t="n">
        <v>90000</v>
      </c>
      <c r="H7" s="18" t="n">
        <v>90000</v>
      </c>
      <c r="I7" s="18" t="n">
        <v>100000</v>
      </c>
      <c r="J7" s="18" t="n">
        <v>100000</v>
      </c>
      <c r="K7" s="18" t="n">
        <v>110000</v>
      </c>
      <c r="L7" s="18" t="n">
        <v>110000</v>
      </c>
      <c r="M7" s="18" t="n">
        <v>120000</v>
      </c>
      <c r="N7" s="18" t="n">
        <v>120000</v>
      </c>
      <c r="O7" s="18" t="n">
        <v>130000</v>
      </c>
      <c r="P7" s="18" t="n">
        <v>130000</v>
      </c>
    </row>
    <row r="8">
      <c r="A8" s="19" t="inlineStr">
        <is>
          <t>4300</t>
        </is>
      </c>
      <c r="B8" s="20" t="inlineStr">
        <is>
          <t>White-Label Licensing</t>
        </is>
      </c>
      <c r="C8" s="19" t="inlineStr">
        <is>
          <t>CC-REV</t>
        </is>
      </c>
      <c r="D8" s="21" t="n">
        <v>270000</v>
      </c>
      <c r="E8" s="21" t="n">
        <v>0</v>
      </c>
      <c r="F8" s="21" t="n">
        <v>0</v>
      </c>
      <c r="G8" s="21" t="n">
        <v>0</v>
      </c>
      <c r="H8" s="21" t="n">
        <v>25000</v>
      </c>
      <c r="I8" s="21" t="n">
        <v>25000</v>
      </c>
      <c r="J8" s="21" t="n">
        <v>25000</v>
      </c>
      <c r="K8" s="21" t="n">
        <v>30000</v>
      </c>
      <c r="L8" s="21" t="n">
        <v>30000</v>
      </c>
      <c r="M8" s="21" t="n">
        <v>30000</v>
      </c>
      <c r="N8" s="21" t="n">
        <v>35000</v>
      </c>
      <c r="O8" s="21" t="n">
        <v>35000</v>
      </c>
      <c r="P8" s="21" t="n">
        <v>35000</v>
      </c>
    </row>
    <row r="9">
      <c r="A9" s="16" t="inlineStr">
        <is>
          <t>4400</t>
        </is>
      </c>
      <c r="B9" s="17" t="inlineStr">
        <is>
          <t>Other Income</t>
        </is>
      </c>
      <c r="C9" s="16" t="inlineStr">
        <is>
          <t>CC-REV</t>
        </is>
      </c>
      <c r="D9" s="18" t="n">
        <v>60000</v>
      </c>
      <c r="E9" s="18" t="n">
        <v>5000</v>
      </c>
      <c r="F9" s="18" t="n">
        <v>5000</v>
      </c>
      <c r="G9" s="18" t="n">
        <v>5000</v>
      </c>
      <c r="H9" s="18" t="n">
        <v>5000</v>
      </c>
      <c r="I9" s="18" t="n">
        <v>5000</v>
      </c>
      <c r="J9" s="18" t="n">
        <v>5000</v>
      </c>
      <c r="K9" s="18" t="n">
        <v>5000</v>
      </c>
      <c r="L9" s="18" t="n">
        <v>5000</v>
      </c>
      <c r="M9" s="18" t="n">
        <v>5000</v>
      </c>
      <c r="N9" s="18" t="n">
        <v>5000</v>
      </c>
      <c r="O9" s="18" t="n">
        <v>5000</v>
      </c>
      <c r="P9" s="18" t="n">
        <v>5000</v>
      </c>
    </row>
    <row r="10">
      <c r="A10" s="22" t="inlineStr">
        <is>
          <t>COST OF GOODS SOLD (COGS)</t>
        </is>
      </c>
    </row>
    <row r="11">
      <c r="A11" s="16" t="inlineStr">
        <is>
          <t>5100</t>
        </is>
      </c>
      <c r="B11" s="17" t="inlineStr">
        <is>
          <t>COGS — Gemini API</t>
        </is>
      </c>
      <c r="C11" s="16" t="inlineStr">
        <is>
          <t>CC-ENG</t>
        </is>
      </c>
      <c r="D11" s="18" t="n">
        <v>349200</v>
      </c>
      <c r="E11" s="18" t="n">
        <v>18000</v>
      </c>
      <c r="F11" s="18" t="n">
        <v>19800</v>
      </c>
      <c r="G11" s="18" t="n">
        <v>21600</v>
      </c>
      <c r="H11" s="18" t="n">
        <v>23400</v>
      </c>
      <c r="I11" s="18" t="n">
        <v>25200</v>
      </c>
      <c r="J11" s="18" t="n">
        <v>27000</v>
      </c>
      <c r="K11" s="18" t="n">
        <v>29520</v>
      </c>
      <c r="L11" s="18" t="n">
        <v>31680</v>
      </c>
      <c r="M11" s="18" t="n">
        <v>34200</v>
      </c>
      <c r="N11" s="18" t="n">
        <v>36720</v>
      </c>
      <c r="O11" s="18" t="n">
        <v>39600</v>
      </c>
      <c r="P11" s="18" t="n">
        <v>42480</v>
      </c>
    </row>
    <row r="12">
      <c r="A12" s="19" t="inlineStr">
        <is>
          <t>5110</t>
        </is>
      </c>
      <c r="B12" s="20" t="inlineStr">
        <is>
          <t>COGS — Firebase Hosting</t>
        </is>
      </c>
      <c r="C12" s="19" t="inlineStr">
        <is>
          <t>CC-ENG</t>
        </is>
      </c>
      <c r="D12" s="21" t="n">
        <v>155200</v>
      </c>
      <c r="E12" s="21" t="n">
        <v>8000</v>
      </c>
      <c r="F12" s="21" t="n">
        <v>8800</v>
      </c>
      <c r="G12" s="21" t="n">
        <v>9600</v>
      </c>
      <c r="H12" s="21" t="n">
        <v>10400</v>
      </c>
      <c r="I12" s="21" t="n">
        <v>11200</v>
      </c>
      <c r="J12" s="21" t="n">
        <v>12000</v>
      </c>
      <c r="K12" s="21" t="n">
        <v>13120</v>
      </c>
      <c r="L12" s="21" t="n">
        <v>14080</v>
      </c>
      <c r="M12" s="21" t="n">
        <v>15200</v>
      </c>
      <c r="N12" s="21" t="n">
        <v>16320</v>
      </c>
      <c r="O12" s="21" t="n">
        <v>17600</v>
      </c>
      <c r="P12" s="21" t="n">
        <v>18880</v>
      </c>
    </row>
    <row r="13">
      <c r="A13" s="16" t="inlineStr">
        <is>
          <t>5120</t>
        </is>
      </c>
      <c r="B13" s="17" t="inlineStr">
        <is>
          <t>COGS — Moyasar Fees</t>
        </is>
      </c>
      <c r="C13" s="16" t="inlineStr">
        <is>
          <t>CC-REV</t>
        </is>
      </c>
      <c r="D13" s="18" t="n">
        <v>82572</v>
      </c>
      <c r="E13" s="18" t="n">
        <v>4050</v>
      </c>
      <c r="F13" s="18" t="n">
        <v>4455</v>
      </c>
      <c r="G13" s="18" t="n">
        <v>4860</v>
      </c>
      <c r="H13" s="18" t="n">
        <v>5643</v>
      </c>
      <c r="I13" s="18" t="n">
        <v>6048</v>
      </c>
      <c r="J13" s="18" t="n">
        <v>6453</v>
      </c>
      <c r="K13" s="18" t="n">
        <v>7128</v>
      </c>
      <c r="L13" s="18" t="n">
        <v>7614</v>
      </c>
      <c r="M13" s="18" t="n">
        <v>8168</v>
      </c>
      <c r="N13" s="18" t="n">
        <v>8722</v>
      </c>
      <c r="O13" s="18" t="n">
        <v>9477</v>
      </c>
      <c r="P13" s="18" t="n">
        <v>9954</v>
      </c>
    </row>
    <row r="14">
      <c r="A14" s="22" t="inlineStr">
        <is>
          <t>PERSONNEL COSTS</t>
        </is>
      </c>
    </row>
    <row r="15">
      <c r="A15" s="16" t="inlineStr">
        <is>
          <t>5200</t>
        </is>
      </c>
      <c r="B15" s="17" t="inlineStr">
        <is>
          <t>Salaries — Engineering</t>
        </is>
      </c>
      <c r="C15" s="16" t="inlineStr">
        <is>
          <t>CC-ENG</t>
        </is>
      </c>
      <c r="D15" s="18" t="n">
        <v>1080000</v>
      </c>
      <c r="E15" s="18" t="n">
        <v>90000</v>
      </c>
      <c r="F15" s="18" t="n">
        <v>90000</v>
      </c>
      <c r="G15" s="18" t="n">
        <v>90000</v>
      </c>
      <c r="H15" s="18" t="n">
        <v>90000</v>
      </c>
      <c r="I15" s="18" t="n">
        <v>90000</v>
      </c>
      <c r="J15" s="18" t="n">
        <v>90000</v>
      </c>
      <c r="K15" s="18" t="n">
        <v>90000</v>
      </c>
      <c r="L15" s="18" t="n">
        <v>90000</v>
      </c>
      <c r="M15" s="18" t="n">
        <v>90000</v>
      </c>
      <c r="N15" s="18" t="n">
        <v>90000</v>
      </c>
      <c r="O15" s="18" t="n">
        <v>90000</v>
      </c>
      <c r="P15" s="18" t="n">
        <v>90000</v>
      </c>
    </row>
    <row r="16">
      <c r="A16" s="19" t="inlineStr">
        <is>
          <t>5210</t>
        </is>
      </c>
      <c r="B16" s="20" t="inlineStr">
        <is>
          <t>Salaries — Founder</t>
        </is>
      </c>
      <c r="C16" s="19" t="inlineStr">
        <is>
          <t>CC-OPS</t>
        </is>
      </c>
      <c r="D16" s="21" t="n">
        <v>300000</v>
      </c>
      <c r="E16" s="21" t="n">
        <v>25000</v>
      </c>
      <c r="F16" s="21" t="n">
        <v>25000</v>
      </c>
      <c r="G16" s="21" t="n">
        <v>25000</v>
      </c>
      <c r="H16" s="21" t="n">
        <v>25000</v>
      </c>
      <c r="I16" s="21" t="n">
        <v>25000</v>
      </c>
      <c r="J16" s="21" t="n">
        <v>25000</v>
      </c>
      <c r="K16" s="21" t="n">
        <v>25000</v>
      </c>
      <c r="L16" s="21" t="n">
        <v>25000</v>
      </c>
      <c r="M16" s="21" t="n">
        <v>25000</v>
      </c>
      <c r="N16" s="21" t="n">
        <v>25000</v>
      </c>
      <c r="O16" s="21" t="n">
        <v>25000</v>
      </c>
      <c r="P16" s="21" t="n">
        <v>25000</v>
      </c>
    </row>
    <row r="17">
      <c r="A17" s="16" t="inlineStr">
        <is>
          <t>5220</t>
        </is>
      </c>
      <c r="B17" s="17" t="inlineStr">
        <is>
          <t>Salaries — Customer Success</t>
        </is>
      </c>
      <c r="C17" s="16" t="inlineStr">
        <is>
          <t>CC-CS</t>
        </is>
      </c>
      <c r="D17" s="18" t="n">
        <v>198000</v>
      </c>
      <c r="E17" s="18" t="n">
        <v>15000</v>
      </c>
      <c r="F17" s="18" t="n">
        <v>15000</v>
      </c>
      <c r="G17" s="18" t="n">
        <v>15000</v>
      </c>
      <c r="H17" s="18" t="n">
        <v>15000</v>
      </c>
      <c r="I17" s="18" t="n">
        <v>15000</v>
      </c>
      <c r="J17" s="18" t="n">
        <v>15000</v>
      </c>
      <c r="K17" s="18" t="n">
        <v>18000</v>
      </c>
      <c r="L17" s="18" t="n">
        <v>18000</v>
      </c>
      <c r="M17" s="18" t="n">
        <v>18000</v>
      </c>
      <c r="N17" s="18" t="n">
        <v>18000</v>
      </c>
      <c r="O17" s="18" t="n">
        <v>18000</v>
      </c>
      <c r="P17" s="18" t="n">
        <v>18000</v>
      </c>
    </row>
    <row r="18">
      <c r="A18" s="19" t="inlineStr">
        <is>
          <t>5230</t>
        </is>
      </c>
      <c r="B18" s="20" t="inlineStr">
        <is>
          <t>Salaries — Marketing</t>
        </is>
      </c>
      <c r="C18" s="19" t="inlineStr">
        <is>
          <t>CC-MKT</t>
        </is>
      </c>
      <c r="D18" s="21" t="n">
        <v>162000</v>
      </c>
      <c r="E18" s="21" t="n">
        <v>12000</v>
      </c>
      <c r="F18" s="21" t="n">
        <v>12000</v>
      </c>
      <c r="G18" s="21" t="n">
        <v>12000</v>
      </c>
      <c r="H18" s="21" t="n">
        <v>12000</v>
      </c>
      <c r="I18" s="21" t="n">
        <v>12000</v>
      </c>
      <c r="J18" s="21" t="n">
        <v>12000</v>
      </c>
      <c r="K18" s="21" t="n">
        <v>15000</v>
      </c>
      <c r="L18" s="21" t="n">
        <v>15000</v>
      </c>
      <c r="M18" s="21" t="n">
        <v>15000</v>
      </c>
      <c r="N18" s="21" t="n">
        <v>15000</v>
      </c>
      <c r="O18" s="21" t="n">
        <v>15000</v>
      </c>
      <c r="P18" s="21" t="n">
        <v>15000</v>
      </c>
    </row>
    <row r="19">
      <c r="A19" s="22" t="inlineStr">
        <is>
          <t>OPERATING EXPENSES</t>
        </is>
      </c>
    </row>
    <row r="20">
      <c r="A20" s="19" t="inlineStr">
        <is>
          <t>5300</t>
        </is>
      </c>
      <c r="B20" s="20" t="inlineStr">
        <is>
          <t>GOSI — Employer Contribution</t>
        </is>
      </c>
      <c r="C20" s="19" t="inlineStr">
        <is>
          <t>CC-OPS</t>
        </is>
      </c>
      <c r="D20" s="21" t="n">
        <v>213120</v>
      </c>
      <c r="E20" s="21" t="n">
        <v>17040</v>
      </c>
      <c r="F20" s="21" t="n">
        <v>17040</v>
      </c>
      <c r="G20" s="21" t="n">
        <v>17040</v>
      </c>
      <c r="H20" s="21" t="n">
        <v>17040</v>
      </c>
      <c r="I20" s="21" t="n">
        <v>17040</v>
      </c>
      <c r="J20" s="21" t="n">
        <v>17040</v>
      </c>
      <c r="K20" s="21" t="n">
        <v>18480</v>
      </c>
      <c r="L20" s="21" t="n">
        <v>18480</v>
      </c>
      <c r="M20" s="21" t="n">
        <v>18480</v>
      </c>
      <c r="N20" s="21" t="n">
        <v>18480</v>
      </c>
      <c r="O20" s="21" t="n">
        <v>18480</v>
      </c>
      <c r="P20" s="21" t="n">
        <v>18480</v>
      </c>
    </row>
    <row r="21">
      <c r="A21" s="16" t="inlineStr">
        <is>
          <t>5400</t>
        </is>
      </c>
      <c r="B21" s="17" t="inlineStr">
        <is>
          <t>Marketing &amp; GTM</t>
        </is>
      </c>
      <c r="C21" s="16" t="inlineStr">
        <is>
          <t>CC-MKT</t>
        </is>
      </c>
      <c r="D21" s="18" t="n">
        <v>380000</v>
      </c>
      <c r="E21" s="18" t="n">
        <v>20000</v>
      </c>
      <c r="F21" s="18" t="n">
        <v>20000</v>
      </c>
      <c r="G21" s="18" t="n">
        <v>25000</v>
      </c>
      <c r="H21" s="18" t="n">
        <v>25000</v>
      </c>
      <c r="I21" s="18" t="n">
        <v>30000</v>
      </c>
      <c r="J21" s="18" t="n">
        <v>30000</v>
      </c>
      <c r="K21" s="18" t="n">
        <v>35000</v>
      </c>
      <c r="L21" s="18" t="n">
        <v>35000</v>
      </c>
      <c r="M21" s="18" t="n">
        <v>40000</v>
      </c>
      <c r="N21" s="18" t="n">
        <v>40000</v>
      </c>
      <c r="O21" s="18" t="n">
        <v>40000</v>
      </c>
      <c r="P21" s="18" t="n">
        <v>40000</v>
      </c>
    </row>
    <row r="22">
      <c r="A22" s="19" t="inlineStr">
        <is>
          <t>5500</t>
        </is>
      </c>
      <c r="B22" s="20" t="inlineStr">
        <is>
          <t>Office Rent</t>
        </is>
      </c>
      <c r="C22" s="19" t="inlineStr">
        <is>
          <t>CC-OPS</t>
        </is>
      </c>
      <c r="D22" s="21" t="n">
        <v>96000</v>
      </c>
      <c r="E22" s="21" t="n">
        <v>8000</v>
      </c>
      <c r="F22" s="21" t="n">
        <v>8000</v>
      </c>
      <c r="G22" s="21" t="n">
        <v>8000</v>
      </c>
      <c r="H22" s="21" t="n">
        <v>8000</v>
      </c>
      <c r="I22" s="21" t="n">
        <v>8000</v>
      </c>
      <c r="J22" s="21" t="n">
        <v>8000</v>
      </c>
      <c r="K22" s="21" t="n">
        <v>8000</v>
      </c>
      <c r="L22" s="21" t="n">
        <v>8000</v>
      </c>
      <c r="M22" s="21" t="n">
        <v>8000</v>
      </c>
      <c r="N22" s="21" t="n">
        <v>8000</v>
      </c>
      <c r="O22" s="21" t="n">
        <v>8000</v>
      </c>
      <c r="P22" s="21" t="n">
        <v>8000</v>
      </c>
    </row>
    <row r="23">
      <c r="A23" s="16" t="inlineStr">
        <is>
          <t>5600</t>
        </is>
      </c>
      <c r="B23" s="17" t="inlineStr">
        <is>
          <t>Software &amp; SaaS Tools</t>
        </is>
      </c>
      <c r="C23" s="16" t="inlineStr">
        <is>
          <t>CC-ENG</t>
        </is>
      </c>
      <c r="D23" s="18" t="n">
        <v>66000</v>
      </c>
      <c r="E23" s="18" t="n">
        <v>5000</v>
      </c>
      <c r="F23" s="18" t="n">
        <v>5000</v>
      </c>
      <c r="G23" s="18" t="n">
        <v>5000</v>
      </c>
      <c r="H23" s="18" t="n">
        <v>5000</v>
      </c>
      <c r="I23" s="18" t="n">
        <v>5000</v>
      </c>
      <c r="J23" s="18" t="n">
        <v>5000</v>
      </c>
      <c r="K23" s="18" t="n">
        <v>6000</v>
      </c>
      <c r="L23" s="18" t="n">
        <v>6000</v>
      </c>
      <c r="M23" s="18" t="n">
        <v>6000</v>
      </c>
      <c r="N23" s="18" t="n">
        <v>6000</v>
      </c>
      <c r="O23" s="18" t="n">
        <v>6000</v>
      </c>
      <c r="P23" s="18" t="n">
        <v>6000</v>
      </c>
    </row>
    <row r="24">
      <c r="A24" s="19" t="inlineStr">
        <is>
          <t>5700</t>
        </is>
      </c>
      <c r="B24" s="20" t="inlineStr">
        <is>
          <t>Legal &amp; Professional Fees</t>
        </is>
      </c>
      <c r="C24" s="19" t="inlineStr">
        <is>
          <t>CC-FIN</t>
        </is>
      </c>
      <c r="D24" s="21" t="n">
        <v>70000</v>
      </c>
      <c r="E24" s="21" t="n">
        <v>10000</v>
      </c>
      <c r="F24" s="21" t="n">
        <v>5000</v>
      </c>
      <c r="G24" s="21" t="n">
        <v>5000</v>
      </c>
      <c r="H24" s="21" t="n">
        <v>5000</v>
      </c>
      <c r="I24" s="21" t="n">
        <v>5000</v>
      </c>
      <c r="J24" s="21" t="n">
        <v>5000</v>
      </c>
      <c r="K24" s="21" t="n">
        <v>5000</v>
      </c>
      <c r="L24" s="21" t="n">
        <v>5000</v>
      </c>
      <c r="M24" s="21" t="n">
        <v>5000</v>
      </c>
      <c r="N24" s="21" t="n">
        <v>10000</v>
      </c>
      <c r="O24" s="21" t="n">
        <v>5000</v>
      </c>
      <c r="P24" s="21" t="n">
        <v>5000</v>
      </c>
    </row>
    <row r="25">
      <c r="A25" s="16" t="inlineStr">
        <is>
          <t>5800</t>
        </is>
      </c>
      <c r="B25" s="17" t="inlineStr">
        <is>
          <t>Travel &amp; Entertainment</t>
        </is>
      </c>
      <c r="C25" s="16" t="inlineStr">
        <is>
          <t>CC-OPS</t>
        </is>
      </c>
      <c r="D25" s="18" t="n">
        <v>69000</v>
      </c>
      <c r="E25" s="18" t="n">
        <v>5000</v>
      </c>
      <c r="F25" s="18" t="n">
        <v>5000</v>
      </c>
      <c r="G25" s="18" t="n">
        <v>5000</v>
      </c>
      <c r="H25" s="18" t="n">
        <v>8000</v>
      </c>
      <c r="I25" s="18" t="n">
        <v>5000</v>
      </c>
      <c r="J25" s="18" t="n">
        <v>5000</v>
      </c>
      <c r="K25" s="18" t="n">
        <v>8000</v>
      </c>
      <c r="L25" s="18" t="n">
        <v>5000</v>
      </c>
      <c r="M25" s="18" t="n">
        <v>5000</v>
      </c>
      <c r="N25" s="18" t="n">
        <v>8000</v>
      </c>
      <c r="O25" s="18" t="n">
        <v>5000</v>
      </c>
      <c r="P25" s="18" t="n">
        <v>5000</v>
      </c>
    </row>
    <row r="26">
      <c r="A26" s="19" t="inlineStr">
        <is>
          <t>5900</t>
        </is>
      </c>
      <c r="B26" s="20" t="inlineStr">
        <is>
          <t>Other Operating Expenses</t>
        </is>
      </c>
      <c r="C26" s="19" t="inlineStr">
        <is>
          <t>CC-OPS</t>
        </is>
      </c>
      <c r="D26" s="21" t="n">
        <v>36000</v>
      </c>
      <c r="E26" s="21" t="n">
        <v>3000</v>
      </c>
      <c r="F26" s="21" t="n">
        <v>3000</v>
      </c>
      <c r="G26" s="21" t="n">
        <v>3000</v>
      </c>
      <c r="H26" s="21" t="n">
        <v>3000</v>
      </c>
      <c r="I26" s="21" t="n">
        <v>3000</v>
      </c>
      <c r="J26" s="21" t="n">
        <v>3000</v>
      </c>
      <c r="K26" s="21" t="n">
        <v>3000</v>
      </c>
      <c r="L26" s="21" t="n">
        <v>3000</v>
      </c>
      <c r="M26" s="21" t="n">
        <v>3000</v>
      </c>
      <c r="N26" s="21" t="n">
        <v>3000</v>
      </c>
      <c r="O26" s="21" t="n">
        <v>3000</v>
      </c>
      <c r="P26" s="21" t="n">
        <v>3000</v>
      </c>
    </row>
  </sheetData>
  <mergeCells count="6">
    <mergeCell ref="A10:P10"/>
    <mergeCell ref="A14:P14"/>
    <mergeCell ref="A1:P1"/>
    <mergeCell ref="A4:P4"/>
    <mergeCell ref="A19:P19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2" t="inlineStr">
        <is>
          <t>FLY GACA — Monthly Actuals FY2026-27</t>
        </is>
      </c>
    </row>
    <row r="2">
      <c r="A2" s="13" t="inlineStr">
        <is>
          <t>INSTRUCTION: Import actuals from accounting system (Zoho Books / QuickBooks) by Day 16 of each month-end close. Map to CoA codes in column A.</t>
        </is>
      </c>
    </row>
    <row r="3" ht="24" customHeight="1">
      <c r="A3" s="14" t="inlineStr">
        <is>
          <t>Account Code</t>
        </is>
      </c>
      <c r="B3" s="14" t="inlineStr">
        <is>
          <t>Account Name</t>
        </is>
      </c>
      <c r="C3" s="14" t="inlineStr">
        <is>
          <t>Cost Center</t>
        </is>
      </c>
      <c r="D3" s="14" t="inlineStr">
        <is>
          <t>YTD Actual</t>
        </is>
      </c>
      <c r="E3" s="14" t="inlineStr">
        <is>
          <t>Apr-26</t>
        </is>
      </c>
      <c r="F3" s="14" t="inlineStr">
        <is>
          <t>May-26</t>
        </is>
      </c>
      <c r="G3" s="14" t="inlineStr">
        <is>
          <t>Jun-26</t>
        </is>
      </c>
      <c r="H3" s="14" t="inlineStr">
        <is>
          <t>Jul-26</t>
        </is>
      </c>
      <c r="I3" s="14" t="inlineStr">
        <is>
          <t>Aug-26</t>
        </is>
      </c>
      <c r="J3" s="14" t="inlineStr">
        <is>
          <t>Sep-26</t>
        </is>
      </c>
      <c r="K3" s="14" t="inlineStr">
        <is>
          <t>Oct-26</t>
        </is>
      </c>
      <c r="L3" s="14" t="inlineStr">
        <is>
          <t>Nov-26</t>
        </is>
      </c>
      <c r="M3" s="14" t="inlineStr">
        <is>
          <t>Dec-26</t>
        </is>
      </c>
      <c r="N3" s="14" t="inlineStr">
        <is>
          <t>Jan-27</t>
        </is>
      </c>
      <c r="O3" s="14" t="inlineStr">
        <is>
          <t>Feb-27</t>
        </is>
      </c>
      <c r="P3" s="14" t="inlineStr">
        <is>
          <t>Mar-27</t>
        </is>
      </c>
    </row>
    <row r="4">
      <c r="A4" s="15" t="inlineStr">
        <is>
          <t>REVENUE</t>
        </is>
      </c>
    </row>
    <row r="5">
      <c r="A5" s="16" t="inlineStr">
        <is>
          <t>4100</t>
        </is>
      </c>
      <c r="B5" s="17" t="inlineStr">
        <is>
          <t>Pro Subscriptions — Monthly</t>
        </is>
      </c>
      <c r="C5" s="16" t="inlineStr">
        <is>
          <t>CC-REV</t>
        </is>
      </c>
      <c r="D5" s="18" t="n">
        <v>99254</v>
      </c>
      <c r="E5" s="18" t="n">
        <v>52091</v>
      </c>
      <c r="F5" s="18" t="n">
        <v>47163</v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</row>
    <row r="6">
      <c r="A6" s="19" t="inlineStr">
        <is>
          <t>4110</t>
        </is>
      </c>
      <c r="B6" s="20" t="inlineStr">
        <is>
          <t>Pro Subscriptions — Annual</t>
        </is>
      </c>
      <c r="C6" s="19" t="inlineStr">
        <is>
          <t>CC-REV</t>
        </is>
      </c>
      <c r="D6" s="21" t="n">
        <v>36989</v>
      </c>
      <c r="E6" s="21" t="n">
        <v>18650</v>
      </c>
      <c r="F6" s="21" t="n">
        <v>18339</v>
      </c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</row>
    <row r="7">
      <c r="A7" s="16" t="inlineStr">
        <is>
          <t>4200</t>
        </is>
      </c>
      <c r="B7" s="17" t="inlineStr">
        <is>
          <t>Academy Contracts — B2B</t>
        </is>
      </c>
      <c r="C7" s="16" t="inlineStr">
        <is>
          <t>CC-REV</t>
        </is>
      </c>
      <c r="D7" s="18" t="n">
        <v>169916</v>
      </c>
      <c r="E7" s="18" t="n">
        <v>85675</v>
      </c>
      <c r="F7" s="18" t="n">
        <v>84241</v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>
      <c r="A8" s="19" t="inlineStr">
        <is>
          <t>4300</t>
        </is>
      </c>
      <c r="B8" s="20" t="inlineStr">
        <is>
          <t>White-Label Licensing</t>
        </is>
      </c>
      <c r="C8" s="19" t="inlineStr">
        <is>
          <t>CC-REV</t>
        </is>
      </c>
      <c r="D8" s="21" t="n">
        <v>0</v>
      </c>
      <c r="E8" s="21" t="n">
        <v>0</v>
      </c>
      <c r="F8" s="21" t="n">
        <v>0</v>
      </c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</row>
    <row r="9">
      <c r="A9" s="16" t="inlineStr">
        <is>
          <t>4400</t>
        </is>
      </c>
      <c r="B9" s="17" t="inlineStr">
        <is>
          <t>Other Income</t>
        </is>
      </c>
      <c r="C9" s="16" t="inlineStr">
        <is>
          <t>CC-REV</t>
        </is>
      </c>
      <c r="D9" s="18" t="n">
        <v>9178</v>
      </c>
      <c r="E9" s="18" t="n">
        <v>4883</v>
      </c>
      <c r="F9" s="18" t="n">
        <v>4295</v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</row>
    <row r="10">
      <c r="A10" s="22" t="inlineStr">
        <is>
          <t>COST OF GOODS SOLD (COGS)</t>
        </is>
      </c>
    </row>
    <row r="11">
      <c r="A11" s="16" t="inlineStr">
        <is>
          <t>5100</t>
        </is>
      </c>
      <c r="B11" s="17" t="inlineStr">
        <is>
          <t>COGS — Gemini API</t>
        </is>
      </c>
      <c r="C11" s="16" t="inlineStr">
        <is>
          <t>CC-ENG</t>
        </is>
      </c>
      <c r="D11" s="18" t="n">
        <v>36313</v>
      </c>
      <c r="E11" s="18" t="n">
        <v>16481</v>
      </c>
      <c r="F11" s="18" t="n">
        <v>19832</v>
      </c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</row>
    <row r="12">
      <c r="A12" s="19" t="inlineStr">
        <is>
          <t>5110</t>
        </is>
      </c>
      <c r="B12" s="20" t="inlineStr">
        <is>
          <t>COGS — Firebase Hosting</t>
        </is>
      </c>
      <c r="C12" s="19" t="inlineStr">
        <is>
          <t>CC-ENG</t>
        </is>
      </c>
      <c r="D12" s="21" t="n">
        <v>14869</v>
      </c>
      <c r="E12" s="21" t="n">
        <v>6864</v>
      </c>
      <c r="F12" s="21" t="n">
        <v>8005</v>
      </c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</row>
    <row r="13">
      <c r="A13" s="16" t="inlineStr">
        <is>
          <t>5120</t>
        </is>
      </c>
      <c r="B13" s="17" t="inlineStr">
        <is>
          <t>COGS — Moyasar Fees</t>
        </is>
      </c>
      <c r="C13" s="16" t="inlineStr">
        <is>
          <t>CC-REV</t>
        </is>
      </c>
      <c r="D13" s="18" t="n">
        <v>8747</v>
      </c>
      <c r="E13" s="18" t="n">
        <v>4232</v>
      </c>
      <c r="F13" s="18" t="n">
        <v>4515</v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</row>
    <row r="14">
      <c r="A14" s="22" t="inlineStr">
        <is>
          <t>PERSONNEL COSTS</t>
        </is>
      </c>
    </row>
    <row r="15">
      <c r="A15" s="16" t="inlineStr">
        <is>
          <t>5200</t>
        </is>
      </c>
      <c r="B15" s="17" t="inlineStr">
        <is>
          <t>Salaries — Engineering</t>
        </is>
      </c>
      <c r="C15" s="16" t="inlineStr">
        <is>
          <t>CC-ENG</t>
        </is>
      </c>
      <c r="D15" s="18" t="n">
        <v>174862</v>
      </c>
      <c r="E15" s="18" t="n">
        <v>82452</v>
      </c>
      <c r="F15" s="18" t="n">
        <v>92410</v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>
      <c r="A16" s="19" t="inlineStr">
        <is>
          <t>5210</t>
        </is>
      </c>
      <c r="B16" s="20" t="inlineStr">
        <is>
          <t>Salaries — Founder</t>
        </is>
      </c>
      <c r="C16" s="19" t="inlineStr">
        <is>
          <t>CC-OPS</t>
        </is>
      </c>
      <c r="D16" s="21" t="n">
        <v>48620</v>
      </c>
      <c r="E16" s="21" t="n">
        <v>27321</v>
      </c>
      <c r="F16" s="21" t="n">
        <v>21299</v>
      </c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</row>
    <row r="17">
      <c r="A17" s="16" t="inlineStr">
        <is>
          <t>5220</t>
        </is>
      </c>
      <c r="B17" s="17" t="inlineStr">
        <is>
          <t>Salaries — Customer Success</t>
        </is>
      </c>
      <c r="C17" s="16" t="inlineStr">
        <is>
          <t>CC-CS</t>
        </is>
      </c>
      <c r="D17" s="18" t="n">
        <v>32268</v>
      </c>
      <c r="E17" s="18" t="n">
        <v>16376</v>
      </c>
      <c r="F17" s="18" t="n">
        <v>15892</v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</row>
    <row r="18">
      <c r="A18" s="19" t="inlineStr">
        <is>
          <t>5230</t>
        </is>
      </c>
      <c r="B18" s="20" t="inlineStr">
        <is>
          <t>Salaries — Marketing</t>
        </is>
      </c>
      <c r="C18" s="19" t="inlineStr">
        <is>
          <t>CC-MKT</t>
        </is>
      </c>
      <c r="D18" s="21" t="n">
        <v>22185</v>
      </c>
      <c r="E18" s="21" t="n">
        <v>11425</v>
      </c>
      <c r="F18" s="21" t="n">
        <v>10760</v>
      </c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>
      <c r="A19" s="22" t="inlineStr">
        <is>
          <t>OPERATING EXPENSES</t>
        </is>
      </c>
    </row>
    <row r="20">
      <c r="A20" s="19" t="inlineStr">
        <is>
          <t>5300</t>
        </is>
      </c>
      <c r="B20" s="20" t="inlineStr">
        <is>
          <t>GOSI — Employer Contribution</t>
        </is>
      </c>
      <c r="C20" s="19" t="inlineStr">
        <is>
          <t>CC-OPS</t>
        </is>
      </c>
      <c r="D20" s="21" t="n">
        <v>35582</v>
      </c>
      <c r="E20" s="21" t="n">
        <v>19377</v>
      </c>
      <c r="F20" s="21" t="n">
        <v>16205</v>
      </c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>
      <c r="A21" s="16" t="inlineStr">
        <is>
          <t>5400</t>
        </is>
      </c>
      <c r="B21" s="17" t="inlineStr">
        <is>
          <t>Marketing &amp; GTM</t>
        </is>
      </c>
      <c r="C21" s="16" t="inlineStr">
        <is>
          <t>CC-MKT</t>
        </is>
      </c>
      <c r="D21" s="18" t="n">
        <v>35136</v>
      </c>
      <c r="E21" s="18" t="n">
        <v>17556</v>
      </c>
      <c r="F21" s="18" t="n">
        <v>17580</v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</row>
    <row r="22">
      <c r="A22" s="19" t="inlineStr">
        <is>
          <t>5500</t>
        </is>
      </c>
      <c r="B22" s="20" t="inlineStr">
        <is>
          <t>Office Rent</t>
        </is>
      </c>
      <c r="C22" s="19" t="inlineStr">
        <is>
          <t>CC-OPS</t>
        </is>
      </c>
      <c r="D22" s="21" t="n">
        <v>17083</v>
      </c>
      <c r="E22" s="21" t="n">
        <v>8834</v>
      </c>
      <c r="F22" s="21" t="n">
        <v>8249</v>
      </c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>
      <c r="A23" s="16" t="inlineStr">
        <is>
          <t>5600</t>
        </is>
      </c>
      <c r="B23" s="17" t="inlineStr">
        <is>
          <t>Software &amp; SaaS Tools</t>
        </is>
      </c>
      <c r="C23" s="16" t="inlineStr">
        <is>
          <t>CC-ENG</t>
        </is>
      </c>
      <c r="D23" s="18" t="n">
        <v>10806</v>
      </c>
      <c r="E23" s="18" t="n">
        <v>5461</v>
      </c>
      <c r="F23" s="18" t="n">
        <v>5345</v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</row>
    <row r="24">
      <c r="A24" s="19" t="inlineStr">
        <is>
          <t>5700</t>
        </is>
      </c>
      <c r="B24" s="20" t="inlineStr">
        <is>
          <t>Legal &amp; Professional Fees</t>
        </is>
      </c>
      <c r="C24" s="19" t="inlineStr">
        <is>
          <t>CC-FIN</t>
        </is>
      </c>
      <c r="D24" s="21" t="n">
        <v>15819</v>
      </c>
      <c r="E24" s="21" t="n">
        <v>10109</v>
      </c>
      <c r="F24" s="21" t="n">
        <v>5710</v>
      </c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</row>
    <row r="25">
      <c r="A25" s="16" t="inlineStr">
        <is>
          <t>5800</t>
        </is>
      </c>
      <c r="B25" s="17" t="inlineStr">
        <is>
          <t>Travel &amp; Entertainment</t>
        </is>
      </c>
      <c r="C25" s="16" t="inlineStr">
        <is>
          <t>CC-OPS</t>
        </is>
      </c>
      <c r="D25" s="18" t="n">
        <v>9896</v>
      </c>
      <c r="E25" s="18" t="n">
        <v>4818</v>
      </c>
      <c r="F25" s="18" t="n">
        <v>5078</v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</row>
    <row r="26">
      <c r="A26" s="19" t="inlineStr">
        <is>
          <t>5900</t>
        </is>
      </c>
      <c r="B26" s="20" t="inlineStr">
        <is>
          <t>Other Operating Expenses</t>
        </is>
      </c>
      <c r="C26" s="19" t="inlineStr">
        <is>
          <t>CC-OPS</t>
        </is>
      </c>
      <c r="D26" s="21" t="n">
        <v>6403</v>
      </c>
      <c r="E26" s="21" t="n">
        <v>3296</v>
      </c>
      <c r="F26" s="21" t="n">
        <v>3107</v>
      </c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</sheetData>
  <mergeCells count="6">
    <mergeCell ref="A10:P10"/>
    <mergeCell ref="A14:P14"/>
    <mergeCell ref="A1:P1"/>
    <mergeCell ref="A4:P4"/>
    <mergeCell ref="A19:P19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2" t="inlineStr">
        <is>
          <t>FLY GACA — Budget vs Actual Variance Analysis FY2026-27</t>
        </is>
      </c>
    </row>
    <row r="2">
      <c r="A2" s="13" t="inlineStr">
        <is>
          <t>Green = within 5% | Amber = 5-10% over | Red = &gt;10% over budget  |  Positive variance (revenue) = favorable</t>
        </is>
      </c>
    </row>
    <row r="3" ht="30" customHeight="1">
      <c r="A3" s="25" t="inlineStr">
        <is>
          <t>Code</t>
        </is>
      </c>
      <c r="B3" s="25" t="inlineStr">
        <is>
          <t>Account</t>
        </is>
      </c>
      <c r="C3" s="25" t="inlineStr">
        <is>
          <t>CC</t>
        </is>
      </c>
      <c r="D3" s="25" t="inlineStr">
        <is>
          <t>Budget YTD</t>
        </is>
      </c>
      <c r="E3" s="25" t="inlineStr">
        <is>
          <t>Actual YTD</t>
        </is>
      </c>
      <c r="F3" s="25" t="inlineStr">
        <is>
          <t>Variance (SAR)</t>
        </is>
      </c>
      <c r="G3" s="25" t="inlineStr">
        <is>
          <t>Variance %</t>
        </is>
      </c>
      <c r="H3" s="25" t="inlineStr">
        <is>
          <t>Apr-26
Budget</t>
        </is>
      </c>
      <c r="I3" s="25" t="inlineStr">
        <is>
          <t>May-26
Budget</t>
        </is>
      </c>
      <c r="J3" s="25" t="inlineStr">
        <is>
          <t>Jun-26
Budget</t>
        </is>
      </c>
      <c r="K3" s="25" t="inlineStr">
        <is>
          <t>Jul-26
Budget</t>
        </is>
      </c>
      <c r="L3" s="25" t="inlineStr">
        <is>
          <t>Aug-26
Budget</t>
        </is>
      </c>
      <c r="M3" s="25" t="inlineStr">
        <is>
          <t>Sep-26
Budget</t>
        </is>
      </c>
    </row>
    <row r="4">
      <c r="A4" s="26" t="inlineStr">
        <is>
          <t>REVENUE</t>
        </is>
      </c>
    </row>
    <row r="5">
      <c r="A5" s="27" t="inlineStr">
        <is>
          <t>4100</t>
        </is>
      </c>
      <c r="B5" s="27" t="inlineStr">
        <is>
          <t>Pro Subscriptions — Monthly</t>
        </is>
      </c>
      <c r="C5" s="27" t="inlineStr">
        <is>
          <t>CC-REV</t>
        </is>
      </c>
      <c r="D5" s="18">
        <f>'Annual Budget'!E5+'Annual Budget'!F5</f>
        <v/>
      </c>
      <c r="E5" s="18">
        <f>Actuals!E5+IF(ISNUMBER(Actuals!F5),Actuals!F5,0)</f>
        <v/>
      </c>
      <c r="F5" s="18">
        <f>E5-D5</f>
        <v/>
      </c>
      <c r="G5" s="28">
        <f>IF(D5&lt;&gt;0,E5/D5-1,0)</f>
        <v/>
      </c>
      <c r="H5" s="29" t="n">
        <v>50000</v>
      </c>
      <c r="I5" s="29" t="n">
        <v>55000</v>
      </c>
      <c r="J5" s="29" t="n">
        <v>60000</v>
      </c>
      <c r="K5" s="29" t="n">
        <v>65000</v>
      </c>
      <c r="L5" s="29" t="n">
        <v>70000</v>
      </c>
      <c r="M5" s="29" t="n">
        <v>75000</v>
      </c>
    </row>
    <row r="6">
      <c r="A6" s="30" t="inlineStr">
        <is>
          <t>4110</t>
        </is>
      </c>
      <c r="B6" s="30" t="inlineStr">
        <is>
          <t>Pro Subscriptions — Annual</t>
        </is>
      </c>
      <c r="C6" s="30" t="inlineStr">
        <is>
          <t>CC-REV</t>
        </is>
      </c>
      <c r="D6" s="21">
        <f>'Annual Budget'!E6+'Annual Budget'!F6</f>
        <v/>
      </c>
      <c r="E6" s="21">
        <f>Actuals!E6+IF(ISNUMBER(Actuals!F6),Actuals!F6,0)</f>
        <v/>
      </c>
      <c r="F6" s="21">
        <f>E6-D6</f>
        <v/>
      </c>
      <c r="G6" s="31">
        <f>IF(D6&lt;&gt;0,E6/D6-1,0)</f>
        <v/>
      </c>
      <c r="H6" s="32" t="n">
        <v>20000</v>
      </c>
      <c r="I6" s="32" t="n">
        <v>20000</v>
      </c>
      <c r="J6" s="32" t="n">
        <v>22000</v>
      </c>
      <c r="K6" s="32" t="n">
        <v>22000</v>
      </c>
      <c r="L6" s="32" t="n">
        <v>25000</v>
      </c>
      <c r="M6" s="32" t="n">
        <v>25000</v>
      </c>
    </row>
    <row r="7">
      <c r="A7" s="27" t="inlineStr">
        <is>
          <t>4200</t>
        </is>
      </c>
      <c r="B7" s="27" t="inlineStr">
        <is>
          <t>Academy Contracts — B2B</t>
        </is>
      </c>
      <c r="C7" s="27" t="inlineStr">
        <is>
          <t>CC-REV</t>
        </is>
      </c>
      <c r="D7" s="18">
        <f>'Annual Budget'!E7+'Annual Budget'!F7</f>
        <v/>
      </c>
      <c r="E7" s="18">
        <f>Actuals!E7+IF(ISNUMBER(Actuals!F7),Actuals!F7,0)</f>
        <v/>
      </c>
      <c r="F7" s="18">
        <f>E7-D7</f>
        <v/>
      </c>
      <c r="G7" s="28">
        <f>IF(D7&lt;&gt;0,E7/D7-1,0)</f>
        <v/>
      </c>
      <c r="H7" s="29" t="n">
        <v>80000</v>
      </c>
      <c r="I7" s="29" t="n">
        <v>80000</v>
      </c>
      <c r="J7" s="29" t="n">
        <v>90000</v>
      </c>
      <c r="K7" s="29" t="n">
        <v>90000</v>
      </c>
      <c r="L7" s="29" t="n">
        <v>100000</v>
      </c>
      <c r="M7" s="29" t="n">
        <v>100000</v>
      </c>
    </row>
    <row r="8">
      <c r="A8" s="30" t="inlineStr">
        <is>
          <t>4300</t>
        </is>
      </c>
      <c r="B8" s="30" t="inlineStr">
        <is>
          <t>White-Label Licensing</t>
        </is>
      </c>
      <c r="C8" s="30" t="inlineStr">
        <is>
          <t>CC-REV</t>
        </is>
      </c>
      <c r="D8" s="21">
        <f>'Annual Budget'!E8+'Annual Budget'!F8</f>
        <v/>
      </c>
      <c r="E8" s="21">
        <f>Actuals!E8+IF(ISNUMBER(Actuals!F8),Actuals!F8,0)</f>
        <v/>
      </c>
      <c r="F8" s="21">
        <f>E8-D8</f>
        <v/>
      </c>
      <c r="G8" s="31">
        <f>IF(D8&lt;&gt;0,E8/D8-1,0)</f>
        <v/>
      </c>
      <c r="H8" s="32" t="n">
        <v>0</v>
      </c>
      <c r="I8" s="32" t="n">
        <v>0</v>
      </c>
      <c r="J8" s="32" t="n">
        <v>0</v>
      </c>
      <c r="K8" s="32" t="n">
        <v>25000</v>
      </c>
      <c r="L8" s="32" t="n">
        <v>25000</v>
      </c>
      <c r="M8" s="32" t="n">
        <v>25000</v>
      </c>
    </row>
    <row r="9">
      <c r="A9" s="27" t="inlineStr">
        <is>
          <t>4400</t>
        </is>
      </c>
      <c r="B9" s="27" t="inlineStr">
        <is>
          <t>Other Income</t>
        </is>
      </c>
      <c r="C9" s="27" t="inlineStr">
        <is>
          <t>CC-REV</t>
        </is>
      </c>
      <c r="D9" s="18">
        <f>'Annual Budget'!E9+'Annual Budget'!F9</f>
        <v/>
      </c>
      <c r="E9" s="18">
        <f>Actuals!E9+IF(ISNUMBER(Actuals!F9),Actuals!F9,0)</f>
        <v/>
      </c>
      <c r="F9" s="18">
        <f>E9-D9</f>
        <v/>
      </c>
      <c r="G9" s="28">
        <f>IF(D9&lt;&gt;0,E9/D9-1,0)</f>
        <v/>
      </c>
      <c r="H9" s="29" t="n">
        <v>5000</v>
      </c>
      <c r="I9" s="29" t="n">
        <v>5000</v>
      </c>
      <c r="J9" s="29" t="n">
        <v>5000</v>
      </c>
      <c r="K9" s="29" t="n">
        <v>5000</v>
      </c>
      <c r="L9" s="29" t="n">
        <v>5000</v>
      </c>
      <c r="M9" s="29" t="n">
        <v>5000</v>
      </c>
    </row>
    <row r="10">
      <c r="A10" s="33" t="inlineStr">
        <is>
          <t>COST OF GOODS SOLD (COGS)</t>
        </is>
      </c>
    </row>
    <row r="11">
      <c r="A11" s="27" t="inlineStr">
        <is>
          <t>5100</t>
        </is>
      </c>
      <c r="B11" s="27" t="inlineStr">
        <is>
          <t>COGS — Gemini API</t>
        </is>
      </c>
      <c r="C11" s="27" t="inlineStr">
        <is>
          <t>CC-ENG</t>
        </is>
      </c>
      <c r="D11" s="18">
        <f>'Annual Budget'!E11+'Annual Budget'!F11</f>
        <v/>
      </c>
      <c r="E11" s="18">
        <f>Actuals!E11+IF(ISNUMBER(Actuals!F11),Actuals!F11,0)</f>
        <v/>
      </c>
      <c r="F11" s="18">
        <f>E11-D11</f>
        <v/>
      </c>
      <c r="G11" s="28">
        <f>IF(D11&lt;&gt;0,E11/D11-1,0)</f>
        <v/>
      </c>
      <c r="H11" s="29" t="n">
        <v>18000</v>
      </c>
      <c r="I11" s="29" t="n">
        <v>19800</v>
      </c>
      <c r="J11" s="29" t="n">
        <v>21600</v>
      </c>
      <c r="K11" s="29" t="n">
        <v>23400</v>
      </c>
      <c r="L11" s="29" t="n">
        <v>25200</v>
      </c>
      <c r="M11" s="29" t="n">
        <v>27000</v>
      </c>
    </row>
    <row r="12">
      <c r="A12" s="30" t="inlineStr">
        <is>
          <t>5110</t>
        </is>
      </c>
      <c r="B12" s="30" t="inlineStr">
        <is>
          <t>COGS — Firebase Hosting</t>
        </is>
      </c>
      <c r="C12" s="30" t="inlineStr">
        <is>
          <t>CC-ENG</t>
        </is>
      </c>
      <c r="D12" s="21">
        <f>'Annual Budget'!E12+'Annual Budget'!F12</f>
        <v/>
      </c>
      <c r="E12" s="21">
        <f>Actuals!E12+IF(ISNUMBER(Actuals!F12),Actuals!F12,0)</f>
        <v/>
      </c>
      <c r="F12" s="21">
        <f>E12-D12</f>
        <v/>
      </c>
      <c r="G12" s="31">
        <f>IF(D12&lt;&gt;0,E12/D12-1,0)</f>
        <v/>
      </c>
      <c r="H12" s="32" t="n">
        <v>8000</v>
      </c>
      <c r="I12" s="32" t="n">
        <v>8800</v>
      </c>
      <c r="J12" s="32" t="n">
        <v>9600</v>
      </c>
      <c r="K12" s="32" t="n">
        <v>10400</v>
      </c>
      <c r="L12" s="32" t="n">
        <v>11200</v>
      </c>
      <c r="M12" s="32" t="n">
        <v>12000</v>
      </c>
    </row>
    <row r="13">
      <c r="A13" s="27" t="inlineStr">
        <is>
          <t>5120</t>
        </is>
      </c>
      <c r="B13" s="27" t="inlineStr">
        <is>
          <t>COGS — Moyasar Fees</t>
        </is>
      </c>
      <c r="C13" s="27" t="inlineStr">
        <is>
          <t>CC-REV</t>
        </is>
      </c>
      <c r="D13" s="18">
        <f>'Annual Budget'!E13+'Annual Budget'!F13</f>
        <v/>
      </c>
      <c r="E13" s="18">
        <f>Actuals!E13+IF(ISNUMBER(Actuals!F13),Actuals!F13,0)</f>
        <v/>
      </c>
      <c r="F13" s="18">
        <f>E13-D13</f>
        <v/>
      </c>
      <c r="G13" s="28">
        <f>IF(D13&lt;&gt;0,E13/D13-1,0)</f>
        <v/>
      </c>
      <c r="H13" s="29" t="n">
        <v>4050</v>
      </c>
      <c r="I13" s="29" t="n">
        <v>4455</v>
      </c>
      <c r="J13" s="29" t="n">
        <v>4860</v>
      </c>
      <c r="K13" s="29" t="n">
        <v>5643</v>
      </c>
      <c r="L13" s="29" t="n">
        <v>6048</v>
      </c>
      <c r="M13" s="29" t="n">
        <v>6453</v>
      </c>
    </row>
    <row r="14">
      <c r="A14" s="33" t="inlineStr">
        <is>
          <t>PERSONNEL COSTS</t>
        </is>
      </c>
    </row>
    <row r="15">
      <c r="A15" s="27" t="inlineStr">
        <is>
          <t>5200</t>
        </is>
      </c>
      <c r="B15" s="27" t="inlineStr">
        <is>
          <t>Salaries — Engineering</t>
        </is>
      </c>
      <c r="C15" s="27" t="inlineStr">
        <is>
          <t>CC-ENG</t>
        </is>
      </c>
      <c r="D15" s="18">
        <f>'Annual Budget'!E15+'Annual Budget'!F15</f>
        <v/>
      </c>
      <c r="E15" s="18">
        <f>Actuals!E15+IF(ISNUMBER(Actuals!F15),Actuals!F15,0)</f>
        <v/>
      </c>
      <c r="F15" s="18">
        <f>E15-D15</f>
        <v/>
      </c>
      <c r="G15" s="28">
        <f>IF(D15&lt;&gt;0,E15/D15-1,0)</f>
        <v/>
      </c>
      <c r="H15" s="29" t="n">
        <v>90000</v>
      </c>
      <c r="I15" s="29" t="n">
        <v>90000</v>
      </c>
      <c r="J15" s="29" t="n">
        <v>90000</v>
      </c>
      <c r="K15" s="29" t="n">
        <v>90000</v>
      </c>
      <c r="L15" s="29" t="n">
        <v>90000</v>
      </c>
      <c r="M15" s="29" t="n">
        <v>90000</v>
      </c>
    </row>
    <row r="16">
      <c r="A16" s="30" t="inlineStr">
        <is>
          <t>5210</t>
        </is>
      </c>
      <c r="B16" s="30" t="inlineStr">
        <is>
          <t>Salaries — Founder</t>
        </is>
      </c>
      <c r="C16" s="30" t="inlineStr">
        <is>
          <t>CC-OPS</t>
        </is>
      </c>
      <c r="D16" s="21">
        <f>'Annual Budget'!E16+'Annual Budget'!F16</f>
        <v/>
      </c>
      <c r="E16" s="21">
        <f>Actuals!E16+IF(ISNUMBER(Actuals!F16),Actuals!F16,0)</f>
        <v/>
      </c>
      <c r="F16" s="21">
        <f>E16-D16</f>
        <v/>
      </c>
      <c r="G16" s="31">
        <f>IF(D16&lt;&gt;0,E16/D16-1,0)</f>
        <v/>
      </c>
      <c r="H16" s="32" t="n">
        <v>25000</v>
      </c>
      <c r="I16" s="32" t="n">
        <v>25000</v>
      </c>
      <c r="J16" s="32" t="n">
        <v>25000</v>
      </c>
      <c r="K16" s="32" t="n">
        <v>25000</v>
      </c>
      <c r="L16" s="32" t="n">
        <v>25000</v>
      </c>
      <c r="M16" s="32" t="n">
        <v>25000</v>
      </c>
    </row>
    <row r="17">
      <c r="A17" s="27" t="inlineStr">
        <is>
          <t>5220</t>
        </is>
      </c>
      <c r="B17" s="27" t="inlineStr">
        <is>
          <t>Salaries — Customer Success</t>
        </is>
      </c>
      <c r="C17" s="27" t="inlineStr">
        <is>
          <t>CC-CS</t>
        </is>
      </c>
      <c r="D17" s="18">
        <f>'Annual Budget'!E17+'Annual Budget'!F17</f>
        <v/>
      </c>
      <c r="E17" s="18">
        <f>Actuals!E17+IF(ISNUMBER(Actuals!F17),Actuals!F17,0)</f>
        <v/>
      </c>
      <c r="F17" s="18">
        <f>E17-D17</f>
        <v/>
      </c>
      <c r="G17" s="28">
        <f>IF(D17&lt;&gt;0,E17/D17-1,0)</f>
        <v/>
      </c>
      <c r="H17" s="29" t="n">
        <v>15000</v>
      </c>
      <c r="I17" s="29" t="n">
        <v>15000</v>
      </c>
      <c r="J17" s="29" t="n">
        <v>15000</v>
      </c>
      <c r="K17" s="29" t="n">
        <v>15000</v>
      </c>
      <c r="L17" s="29" t="n">
        <v>15000</v>
      </c>
      <c r="M17" s="29" t="n">
        <v>15000</v>
      </c>
    </row>
    <row r="18">
      <c r="A18" s="30" t="inlineStr">
        <is>
          <t>5230</t>
        </is>
      </c>
      <c r="B18" s="30" t="inlineStr">
        <is>
          <t>Salaries — Marketing</t>
        </is>
      </c>
      <c r="C18" s="30" t="inlineStr">
        <is>
          <t>CC-MKT</t>
        </is>
      </c>
      <c r="D18" s="21">
        <f>'Annual Budget'!E18+'Annual Budget'!F18</f>
        <v/>
      </c>
      <c r="E18" s="21">
        <f>Actuals!E18+IF(ISNUMBER(Actuals!F18),Actuals!F18,0)</f>
        <v/>
      </c>
      <c r="F18" s="21">
        <f>E18-D18</f>
        <v/>
      </c>
      <c r="G18" s="31">
        <f>IF(D18&lt;&gt;0,E18/D18-1,0)</f>
        <v/>
      </c>
      <c r="H18" s="32" t="n">
        <v>12000</v>
      </c>
      <c r="I18" s="32" t="n">
        <v>12000</v>
      </c>
      <c r="J18" s="32" t="n">
        <v>12000</v>
      </c>
      <c r="K18" s="32" t="n">
        <v>12000</v>
      </c>
      <c r="L18" s="32" t="n">
        <v>12000</v>
      </c>
      <c r="M18" s="32" t="n">
        <v>12000</v>
      </c>
    </row>
    <row r="19">
      <c r="A19" s="33" t="inlineStr">
        <is>
          <t>OPERATING EXPENSES</t>
        </is>
      </c>
    </row>
    <row r="20">
      <c r="A20" s="30" t="inlineStr">
        <is>
          <t>5300</t>
        </is>
      </c>
      <c r="B20" s="30" t="inlineStr">
        <is>
          <t>GOSI — Employer Contribution</t>
        </is>
      </c>
      <c r="C20" s="30" t="inlineStr">
        <is>
          <t>CC-OPS</t>
        </is>
      </c>
      <c r="D20" s="21">
        <f>'Annual Budget'!E20+'Annual Budget'!F20</f>
        <v/>
      </c>
      <c r="E20" s="21">
        <f>Actuals!E20+IF(ISNUMBER(Actuals!F20),Actuals!F20,0)</f>
        <v/>
      </c>
      <c r="F20" s="21">
        <f>E20-D20</f>
        <v/>
      </c>
      <c r="G20" s="31">
        <f>IF(D20&lt;&gt;0,E20/D20-1,0)</f>
        <v/>
      </c>
      <c r="H20" s="32" t="n">
        <v>17040</v>
      </c>
      <c r="I20" s="32" t="n">
        <v>17040</v>
      </c>
      <c r="J20" s="32" t="n">
        <v>17040</v>
      </c>
      <c r="K20" s="32" t="n">
        <v>17040</v>
      </c>
      <c r="L20" s="32" t="n">
        <v>17040</v>
      </c>
      <c r="M20" s="32" t="n">
        <v>17040</v>
      </c>
    </row>
    <row r="21">
      <c r="A21" s="27" t="inlineStr">
        <is>
          <t>5400</t>
        </is>
      </c>
      <c r="B21" s="27" t="inlineStr">
        <is>
          <t>Marketing &amp; GTM</t>
        </is>
      </c>
      <c r="C21" s="27" t="inlineStr">
        <is>
          <t>CC-MKT</t>
        </is>
      </c>
      <c r="D21" s="18">
        <f>'Annual Budget'!E21+'Annual Budget'!F21</f>
        <v/>
      </c>
      <c r="E21" s="18">
        <f>Actuals!E21+IF(ISNUMBER(Actuals!F21),Actuals!F21,0)</f>
        <v/>
      </c>
      <c r="F21" s="18">
        <f>E21-D21</f>
        <v/>
      </c>
      <c r="G21" s="28">
        <f>IF(D21&lt;&gt;0,E21/D21-1,0)</f>
        <v/>
      </c>
      <c r="H21" s="29" t="n">
        <v>20000</v>
      </c>
      <c r="I21" s="29" t="n">
        <v>20000</v>
      </c>
      <c r="J21" s="29" t="n">
        <v>25000</v>
      </c>
      <c r="K21" s="29" t="n">
        <v>25000</v>
      </c>
      <c r="L21" s="29" t="n">
        <v>30000</v>
      </c>
      <c r="M21" s="29" t="n">
        <v>30000</v>
      </c>
    </row>
    <row r="22">
      <c r="A22" s="30" t="inlineStr">
        <is>
          <t>5500</t>
        </is>
      </c>
      <c r="B22" s="30" t="inlineStr">
        <is>
          <t>Office Rent</t>
        </is>
      </c>
      <c r="C22" s="30" t="inlineStr">
        <is>
          <t>CC-OPS</t>
        </is>
      </c>
      <c r="D22" s="21">
        <f>'Annual Budget'!E22+'Annual Budget'!F22</f>
        <v/>
      </c>
      <c r="E22" s="21">
        <f>Actuals!E22+IF(ISNUMBER(Actuals!F22),Actuals!F22,0)</f>
        <v/>
      </c>
      <c r="F22" s="21">
        <f>E22-D22</f>
        <v/>
      </c>
      <c r="G22" s="31">
        <f>IF(D22&lt;&gt;0,E22/D22-1,0)</f>
        <v/>
      </c>
      <c r="H22" s="32" t="n">
        <v>8000</v>
      </c>
      <c r="I22" s="32" t="n">
        <v>8000</v>
      </c>
      <c r="J22" s="32" t="n">
        <v>8000</v>
      </c>
      <c r="K22" s="32" t="n">
        <v>8000</v>
      </c>
      <c r="L22" s="32" t="n">
        <v>8000</v>
      </c>
      <c r="M22" s="32" t="n">
        <v>8000</v>
      </c>
    </row>
    <row r="23">
      <c r="A23" s="27" t="inlineStr">
        <is>
          <t>5600</t>
        </is>
      </c>
      <c r="B23" s="27" t="inlineStr">
        <is>
          <t>Software &amp; SaaS Tools</t>
        </is>
      </c>
      <c r="C23" s="27" t="inlineStr">
        <is>
          <t>CC-ENG</t>
        </is>
      </c>
      <c r="D23" s="18">
        <f>'Annual Budget'!E23+'Annual Budget'!F23</f>
        <v/>
      </c>
      <c r="E23" s="18">
        <f>Actuals!E23+IF(ISNUMBER(Actuals!F23),Actuals!F23,0)</f>
        <v/>
      </c>
      <c r="F23" s="18">
        <f>E23-D23</f>
        <v/>
      </c>
      <c r="G23" s="28">
        <f>IF(D23&lt;&gt;0,E23/D23-1,0)</f>
        <v/>
      </c>
      <c r="H23" s="29" t="n">
        <v>5000</v>
      </c>
      <c r="I23" s="29" t="n">
        <v>5000</v>
      </c>
      <c r="J23" s="29" t="n">
        <v>5000</v>
      </c>
      <c r="K23" s="29" t="n">
        <v>5000</v>
      </c>
      <c r="L23" s="29" t="n">
        <v>5000</v>
      </c>
      <c r="M23" s="29" t="n">
        <v>5000</v>
      </c>
    </row>
    <row r="24">
      <c r="A24" s="30" t="inlineStr">
        <is>
          <t>5700</t>
        </is>
      </c>
      <c r="B24" s="30" t="inlineStr">
        <is>
          <t>Legal &amp; Professional Fees</t>
        </is>
      </c>
      <c r="C24" s="30" t="inlineStr">
        <is>
          <t>CC-FIN</t>
        </is>
      </c>
      <c r="D24" s="21">
        <f>'Annual Budget'!E24+'Annual Budget'!F24</f>
        <v/>
      </c>
      <c r="E24" s="21">
        <f>Actuals!E24+IF(ISNUMBER(Actuals!F24),Actuals!F24,0)</f>
        <v/>
      </c>
      <c r="F24" s="21">
        <f>E24-D24</f>
        <v/>
      </c>
      <c r="G24" s="31">
        <f>IF(D24&lt;&gt;0,E24/D24-1,0)</f>
        <v/>
      </c>
      <c r="H24" s="32" t="n">
        <v>10000</v>
      </c>
      <c r="I24" s="32" t="n">
        <v>5000</v>
      </c>
      <c r="J24" s="32" t="n">
        <v>5000</v>
      </c>
      <c r="K24" s="32" t="n">
        <v>5000</v>
      </c>
      <c r="L24" s="32" t="n">
        <v>5000</v>
      </c>
      <c r="M24" s="32" t="n">
        <v>5000</v>
      </c>
    </row>
    <row r="25">
      <c r="A25" s="27" t="inlineStr">
        <is>
          <t>5800</t>
        </is>
      </c>
      <c r="B25" s="27" t="inlineStr">
        <is>
          <t>Travel &amp; Entertainment</t>
        </is>
      </c>
      <c r="C25" s="27" t="inlineStr">
        <is>
          <t>CC-OPS</t>
        </is>
      </c>
      <c r="D25" s="18">
        <f>'Annual Budget'!E25+'Annual Budget'!F25</f>
        <v/>
      </c>
      <c r="E25" s="18">
        <f>Actuals!E25+IF(ISNUMBER(Actuals!F25),Actuals!F25,0)</f>
        <v/>
      </c>
      <c r="F25" s="18">
        <f>E25-D25</f>
        <v/>
      </c>
      <c r="G25" s="28">
        <f>IF(D25&lt;&gt;0,E25/D25-1,0)</f>
        <v/>
      </c>
      <c r="H25" s="29" t="n">
        <v>5000</v>
      </c>
      <c r="I25" s="29" t="n">
        <v>5000</v>
      </c>
      <c r="J25" s="29" t="n">
        <v>5000</v>
      </c>
      <c r="K25" s="29" t="n">
        <v>8000</v>
      </c>
      <c r="L25" s="29" t="n">
        <v>5000</v>
      </c>
      <c r="M25" s="29" t="n">
        <v>5000</v>
      </c>
    </row>
    <row r="26">
      <c r="A26" s="30" t="inlineStr">
        <is>
          <t>5900</t>
        </is>
      </c>
      <c r="B26" s="30" t="inlineStr">
        <is>
          <t>Other Operating Expenses</t>
        </is>
      </c>
      <c r="C26" s="30" t="inlineStr">
        <is>
          <t>CC-OPS</t>
        </is>
      </c>
      <c r="D26" s="21">
        <f>'Annual Budget'!E26+'Annual Budget'!F26</f>
        <v/>
      </c>
      <c r="E26" s="21">
        <f>Actuals!E26+IF(ISNUMBER(Actuals!F26),Actuals!F26,0)</f>
        <v/>
      </c>
      <c r="F26" s="21">
        <f>E26-D26</f>
        <v/>
      </c>
      <c r="G26" s="31">
        <f>IF(D26&lt;&gt;0,E26/D26-1,0)</f>
        <v/>
      </c>
      <c r="H26" s="32" t="n">
        <v>3000</v>
      </c>
      <c r="I26" s="32" t="n">
        <v>3000</v>
      </c>
      <c r="J26" s="32" t="n">
        <v>3000</v>
      </c>
      <c r="K26" s="32" t="n">
        <v>3000</v>
      </c>
      <c r="L26" s="32" t="n">
        <v>3000</v>
      </c>
      <c r="M26" s="32" t="n">
        <v>3000</v>
      </c>
    </row>
  </sheetData>
  <mergeCells count="6">
    <mergeCell ref="A2:R2"/>
    <mergeCell ref="A19:R19"/>
    <mergeCell ref="A10:R10"/>
    <mergeCell ref="A14:R14"/>
    <mergeCell ref="A1:R1"/>
    <mergeCell ref="A4:R4"/>
  </mergeCells>
  <conditionalFormatting sqref="G4:G27">
    <cfRule type="cellIs" priority="1" operator="greaterThan" dxfId="0">
      <formula>0.1</formula>
    </cfRule>
    <cfRule type="cellIs" priority="2" operator="between" dxfId="1">
      <formula>0.05</formula>
      <formula>0.1</formula>
    </cfRule>
    <cfRule type="cellIs" priority="3" operator="lessThanOrEqual" dxfId="2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6" customWidth="1" min="4" max="4"/>
    <col width="12" customWidth="1" min="5" max="5"/>
    <col width="52" customWidth="1" min="6" max="6"/>
  </cols>
  <sheetData>
    <row r="1" ht="28" customHeight="1">
      <c r="A1" s="12" t="inlineStr">
        <is>
          <t>FLY GACA — Variance Commentary FY2026-27</t>
        </is>
      </c>
    </row>
    <row r="2">
      <c r="A2" s="13" t="inlineStr">
        <is>
          <t>Add one row per significant variance (&gt;5% or &gt;5,000 SAR). Update by Day 19 of month-end close. Shared in board pack.</t>
        </is>
      </c>
    </row>
    <row r="3" ht="24" customHeight="1">
      <c r="A3" s="14" t="inlineStr">
        <is>
          <t>Month</t>
        </is>
      </c>
      <c r="B3" s="14" t="inlineStr">
        <is>
          <t>Account Code</t>
        </is>
      </c>
      <c r="C3" s="14" t="inlineStr">
        <is>
          <t>Account Name</t>
        </is>
      </c>
      <c r="D3" s="14" t="inlineStr">
        <is>
          <t>Variance SAR</t>
        </is>
      </c>
      <c r="E3" s="14" t="inlineStr">
        <is>
          <t>Variance %</t>
        </is>
      </c>
      <c r="F3" s="14" t="inlineStr">
        <is>
          <t>Explanation &amp; Action</t>
        </is>
      </c>
    </row>
    <row r="4" ht="36" customHeight="1">
      <c r="A4" s="20" t="inlineStr">
        <is>
          <t>Apr-26</t>
        </is>
      </c>
      <c r="B4" s="20" t="inlineStr">
        <is>
          <t>5400</t>
        </is>
      </c>
      <c r="C4" s="20" t="inlineStr">
        <is>
          <t>Marketing &amp; GTM</t>
        </is>
      </c>
      <c r="D4" s="21" t="n">
        <v>-8500</v>
      </c>
      <c r="E4" s="31" t="n">
        <v>-0.43</v>
      </c>
      <c r="F4" s="34" t="inlineStr">
        <is>
          <t>Planned campaign delayed to May-26 awaiting creative assets. Budget not spent will roll to May. No annual impact expected.</t>
        </is>
      </c>
    </row>
    <row r="5" ht="36" customHeight="1">
      <c r="A5" s="17" t="inlineStr">
        <is>
          <t>Apr-26</t>
        </is>
      </c>
      <c r="B5" s="17" t="inlineStr">
        <is>
          <t>5100</t>
        </is>
      </c>
      <c r="C5" s="17" t="inlineStr">
        <is>
          <t>COGS — Gemini API</t>
        </is>
      </c>
      <c r="D5" s="18" t="n">
        <v>3200</v>
      </c>
      <c r="E5" s="28" t="n">
        <v>0.18</v>
      </c>
      <c r="F5" s="35" t="inlineStr">
        <is>
          <t>Higher than budgeted API calls due to beta testing with 3 academy partners. Usage will normalize in May. Monitoring daily.</t>
        </is>
      </c>
    </row>
    <row r="6" ht="36" customHeight="1">
      <c r="A6" s="20" t="inlineStr">
        <is>
          <t>Apr-26</t>
        </is>
      </c>
      <c r="B6" s="20" t="inlineStr">
        <is>
          <t>4100</t>
        </is>
      </c>
      <c r="C6" s="20" t="inlineStr">
        <is>
          <t>Pro Subscriptions — Monthly</t>
        </is>
      </c>
      <c r="D6" s="21" t="n">
        <v>4750</v>
      </c>
      <c r="E6" s="31" t="n">
        <v>0.1</v>
      </c>
      <c r="F6" s="34" t="inlineStr">
        <is>
          <t>Outperformed budget due to early adoption from GACA-affiliated flight schools. Positive variance — no action required.</t>
        </is>
      </c>
    </row>
    <row r="7" ht="36" customHeight="1">
      <c r="A7" s="17" t="inlineStr">
        <is>
          <t>May-26</t>
        </is>
      </c>
      <c r="B7" s="17" t="inlineStr">
        <is>
          <t>5400</t>
        </is>
      </c>
      <c r="C7" s="17" t="inlineStr">
        <is>
          <t>Marketing &amp; GTM</t>
        </is>
      </c>
      <c r="D7" s="18" t="n">
        <v>12000</v>
      </c>
      <c r="E7" s="28" t="n">
        <v>0.6</v>
      </c>
      <c r="F7" s="35" t="inlineStr">
        <is>
          <t>April campaign budget rolled to May as planned. Combined April+May spend is on track vs. 2-month budget total.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2026-05-05T03:37:29Z</dcterms:created>
  <dcterms:modified xmlns:dcterms="http://purl.org/dc/terms/" xmlns:xsi="http://www.w3.org/2001/XMLSchema-instance" xsi:type="dcterms:W3CDTF">2026-05-05T03:37:29Z</dcterms:modified>
</cp:coreProperties>
</file>