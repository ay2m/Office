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Raw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SAR&quot;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7AE60"/>
      <sz val="18"/>
    </font>
    <font>
      <name val="Arial"/>
      <b val="1"/>
      <color rgb="00E67E22"/>
      <sz val="18"/>
    </font>
    <font>
      <name val="Arial"/>
      <b val="1"/>
      <color rgb="002D6E8A"/>
      <sz val="18"/>
    </font>
    <font>
      <name val="Arial"/>
      <b val="1"/>
      <color rgb="002D6E8A"/>
      <sz val="11"/>
    </font>
    <font>
      <name val="Arial"/>
      <b val="1"/>
      <color rgb="00FFFFFF"/>
      <sz val="9"/>
    </font>
    <font>
      <name val="Arial"/>
      <color rgb="000A0E12"/>
      <sz val="9"/>
    </font>
    <font>
      <name val="Arial"/>
      <b val="1"/>
      <color rgb="000A0E12"/>
      <sz val="9"/>
    </font>
    <font>
      <name val="Arial"/>
      <b val="1"/>
      <color rgb="00C0392B"/>
      <sz val="9"/>
    </font>
    <font>
      <name val="Arial"/>
      <b val="1"/>
      <color rgb="0027AE60"/>
      <sz val="9"/>
    </font>
    <font>
      <name val="Arial"/>
      <b val="1"/>
      <color rgb="00E67E22"/>
      <sz val="9"/>
    </font>
    <font>
      <name val="Arial"/>
      <b val="1"/>
      <color rgb="002D6E8A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D6E8A"/>
      </patternFill>
    </fill>
    <fill>
      <patternFill patternType="solid">
        <fgColor rgb="00F5F2ED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C8A04A"/>
      </patternFill>
    </fill>
    <fill>
      <patternFill patternType="solid">
        <fgColor rgb="00FFFFFF"/>
      </patternFill>
    </fill>
    <fill>
      <patternFill patternType="solid">
        <fgColor rgb="00B5D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3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0" fillId="8" borderId="0" applyAlignment="1" pivotButton="0" quotePrefix="0" xfId="0">
      <alignment horizontal="center" vertical="center"/>
    </xf>
    <xf numFmtId="0" fontId="1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— Last 12 Months (SAR)</a:t>
            </a:r>
          </a:p>
        </rich>
      </tx>
    </title>
    <plotArea>
      <lineChart>
        <grouping val="standard"/>
        <ser>
          <idx val="0"/>
          <order val="0"/>
          <tx>
            <strRef>
              <f>'KPI Dashboard'!Q19</f>
            </strRef>
          </tx>
          <spPr>
            <a:ln xmlns:a="http://schemas.openxmlformats.org/drawingml/2006/main" w="25000">
              <a:solidFill>
                <a:srgbClr val="2D6E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Dashboard'!$P$20:$P$31</f>
            </numRef>
          </cat>
          <val>
            <numRef>
              <f>'KPI Dashboard'!$Q$20:$Q$31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 Rate Trend — Last 12 Months (SAR)</a:t>
            </a:r>
          </a:p>
        </rich>
      </tx>
    </title>
    <plotArea>
      <lineChart>
        <grouping val="standard"/>
        <ser>
          <idx val="0"/>
          <order val="0"/>
          <tx>
            <strRef>
              <f>'KPI Dashboard'!R19</f>
            </strRef>
          </tx>
          <spPr>
            <a:ln xmlns:a="http://schemas.openxmlformats.org/drawingml/2006/main" w="25000">
              <a:solidFill>
                <a:srgbClr val="C8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Dashboard'!$P$20:$P$31</f>
            </numRef>
          </cat>
          <val>
            <numRef>
              <f>'KPI Dashboard'!$R$20:$R$31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D6E8A"/>
    <outlinePr summaryBelow="1" summaryRight="1"/>
    <pageSetUpPr/>
  </sheetPr>
  <dimension ref="A1:T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2" customWidth="1" min="5" max="5"/>
    <col width="2" customWidth="1" min="6" max="6"/>
    <col width="10" customWidth="1" min="7" max="7"/>
    <col width="24" customWidth="1" min="8" max="8"/>
    <col width="14" customWidth="1" min="9" max="9"/>
    <col width="12" customWidth="1" min="10" max="10"/>
    <col width="12" customWidth="1" min="11" max="11"/>
    <col width="2" customWidth="1" min="12" max="12"/>
    <col width="20" customWidth="1" min="13" max="13"/>
    <col width="14" customWidth="1" min="14" max="14"/>
    <col width="10" customWidth="1" min="15" max="15"/>
    <col width="10" customWidth="1" min="16" max="16"/>
    <col width="22" customWidth="1" min="17" max="17"/>
    <col width="14" customWidth="1" min="18" max="18"/>
    <col width="10" customWidth="1" min="19" max="19"/>
    <col width="30" customWidth="1" min="20" max="20"/>
  </cols>
  <sheetData>
    <row r="1" ht="32" customHeight="1">
      <c r="A1" s="1" t="inlineStr">
        <is>
          <t>FLY GACA — Financial KPI Dashboard  |  May 2026  |  CONFIDENTIAL</t>
        </is>
      </c>
    </row>
    <row r="2" ht="18" customHeight="1">
      <c r="A2" s="2" t="inlineStr">
        <is>
          <t>Captain Adel Yahya A. Madkhali, Founder  ·  i@flygaca.com  ·  +966 51 096 6969  ·  Pre-Revenue Stage  ·  3M SAR Bridge Round</t>
        </is>
      </c>
    </row>
    <row r="4" ht="22" customHeight="1">
      <c r="A4" s="3" t="inlineStr">
        <is>
          <t>Monthly Revenue</t>
        </is>
      </c>
      <c r="B4" s="4" t="n"/>
      <c r="C4" s="4" t="n"/>
      <c r="D4" s="4" t="n"/>
      <c r="F4" s="5" t="inlineStr">
        <is>
          <t>MoM Revenue Growth</t>
        </is>
      </c>
      <c r="G4" s="6" t="n"/>
      <c r="H4" s="6" t="n"/>
      <c r="I4" s="6" t="n"/>
      <c r="K4" s="3" t="inlineStr">
        <is>
          <t>ARR (Annualized)</t>
        </is>
      </c>
      <c r="L4" s="4" t="n"/>
      <c r="M4" s="4" t="n"/>
      <c r="N4" s="4" t="n"/>
      <c r="Q4" s="7" t="inlineStr">
        <is>
          <t>Compliance &amp; Filing Status Flags</t>
        </is>
      </c>
    </row>
    <row r="5" ht="18" customHeight="1">
      <c r="A5" s="8" t="inlineStr">
        <is>
          <t>SAR 270,000</t>
        </is>
      </c>
      <c r="F5" s="9" t="inlineStr">
        <is>
          <t>+8.9%</t>
        </is>
      </c>
      <c r="K5" s="8" t="inlineStr">
        <is>
          <t>SAR 3,240,000</t>
        </is>
      </c>
      <c r="Q5" s="10" t="inlineStr">
        <is>
          <t>Item</t>
        </is>
      </c>
      <c r="R5" s="10" t="inlineStr">
        <is>
          <t>Due Date</t>
        </is>
      </c>
      <c r="S5" s="10" t="inlineStr">
        <is>
          <t>Status</t>
        </is>
      </c>
      <c r="T5" s="10" t="inlineStr">
        <is>
          <t>Action</t>
        </is>
      </c>
    </row>
    <row r="6" ht="24" customHeight="1">
      <c r="Q6" s="11" t="inlineStr">
        <is>
          <t>ZATCA VAT Filing (Q2)</t>
        </is>
      </c>
      <c r="R6" s="12" t="inlineStr">
        <is>
          <t>30 Jun 2026</t>
        </is>
      </c>
      <c r="S6" s="13" t="inlineStr">
        <is>
          <t>DUE</t>
        </is>
      </c>
      <c r="T6" s="14" t="inlineStr">
        <is>
          <t>Prepare Q2 VAT return — assign to Finance</t>
        </is>
      </c>
    </row>
    <row r="7" ht="24" customHeight="1">
      <c r="A7" s="2" t="inlineStr">
        <is>
          <t>Target: 250K SAR</t>
        </is>
      </c>
      <c r="F7" s="2" t="inlineStr">
        <is>
          <t>Target: +10% MoM</t>
        </is>
      </c>
      <c r="K7" s="2" t="inlineStr">
        <is>
          <t>Target: 3.24M SAR</t>
        </is>
      </c>
      <c r="Q7" s="15" t="inlineStr">
        <is>
          <t>MISA License Renewal</t>
        </is>
      </c>
      <c r="R7" s="16" t="inlineStr">
        <is>
          <t>01 Aug 2026</t>
        </is>
      </c>
      <c r="S7" s="17" t="inlineStr">
        <is>
          <t>OK</t>
        </is>
      </c>
      <c r="T7" s="18" t="inlineStr">
        <is>
          <t>Renewal window opens 60 days before expiry</t>
        </is>
      </c>
    </row>
    <row r="8" ht="24" customHeight="1">
      <c r="Q8" s="11" t="inlineStr">
        <is>
          <t>GOSI Monthly Payment</t>
        </is>
      </c>
      <c r="R8" s="12" t="inlineStr">
        <is>
          <t>31 May 2026</t>
        </is>
      </c>
      <c r="S8" s="13" t="inlineStr">
        <is>
          <t>DUE</t>
        </is>
      </c>
      <c r="T8" s="14" t="inlineStr">
        <is>
          <t>Submit via Mudad portal — urgent</t>
        </is>
      </c>
    </row>
    <row r="9" ht="24" customHeight="1">
      <c r="Q9" s="15" t="inlineStr">
        <is>
          <t>PDPL Compliance Audit</t>
        </is>
      </c>
      <c r="R9" s="16" t="inlineStr">
        <is>
          <t>30 Sep 2026</t>
        </is>
      </c>
      <c r="S9" s="19" t="inlineStr">
        <is>
          <t>UPCOMING</t>
        </is>
      </c>
      <c r="T9" s="18" t="inlineStr">
        <is>
          <t>Schedule internal audit — assign DPO</t>
        </is>
      </c>
    </row>
    <row r="10" ht="24" customHeight="1">
      <c r="A10" s="20" t="inlineStr">
        <is>
          <t>Cash Balance</t>
        </is>
      </c>
      <c r="B10" s="21" t="n"/>
      <c r="C10" s="21" t="n"/>
      <c r="D10" s="21" t="n"/>
      <c r="F10" s="5" t="inlineStr">
        <is>
          <t>Months of Runway</t>
        </is>
      </c>
      <c r="G10" s="6" t="n"/>
      <c r="H10" s="6" t="n"/>
      <c r="I10" s="6" t="n"/>
      <c r="K10" s="3" t="inlineStr">
        <is>
          <t>Gross Margin</t>
        </is>
      </c>
      <c r="L10" s="4" t="n"/>
      <c r="M10" s="4" t="n"/>
      <c r="N10" s="4" t="n"/>
      <c r="Q10" s="11" t="inlineStr">
        <is>
          <t>Board Meeting (Q2)</t>
        </is>
      </c>
      <c r="R10" s="12" t="inlineStr">
        <is>
          <t>15 Jun 2026</t>
        </is>
      </c>
      <c r="S10" s="22" t="inlineStr">
        <is>
          <t>UPCOMING</t>
        </is>
      </c>
      <c r="T10" s="14" t="inlineStr">
        <is>
          <t>Prepare board pack per Monthly Close Checklist</t>
        </is>
      </c>
    </row>
    <row r="11" ht="24" customHeight="1">
      <c r="A11" s="23" t="inlineStr">
        <is>
          <t>SAR 3,000,000</t>
        </is>
      </c>
      <c r="F11" s="9" t="inlineStr">
        <is>
          <t>13.5 months</t>
        </is>
      </c>
      <c r="K11" s="8" t="inlineStr">
        <is>
          <t>62.2%</t>
        </is>
      </c>
      <c r="Q11" s="15" t="inlineStr">
        <is>
          <t>Annual Audit (FY2026)</t>
        </is>
      </c>
      <c r="R11" s="16" t="inlineStr">
        <is>
          <t>28 Feb 2027</t>
        </is>
      </c>
      <c r="S11" s="24" t="inlineStr">
        <is>
          <t>PLANNED</t>
        </is>
      </c>
      <c r="T11" s="18" t="inlineStr">
        <is>
          <t>Engage SOCPA-accredited audit firm Q4 2026</t>
        </is>
      </c>
    </row>
    <row r="12" ht="24" customHeight="1">
      <c r="Q12" s="11" t="inlineStr">
        <is>
          <t>WHT Filing (Q1 2026)</t>
        </is>
      </c>
      <c r="R12" s="12" t="inlineStr">
        <is>
          <t>31 May 2026</t>
        </is>
      </c>
      <c r="S12" s="13" t="inlineStr">
        <is>
          <t>DUE</t>
        </is>
      </c>
      <c r="T12" s="14" t="inlineStr">
        <is>
          <t>File with ZATCA — Finance to confirm amounts</t>
        </is>
      </c>
    </row>
    <row r="13" ht="18" customHeight="1">
      <c r="A13" s="2" t="inlineStr">
        <is>
          <t>3M SAR Bridge Raised</t>
        </is>
      </c>
      <c r="F13" s="2" t="inlineStr">
        <is>
          <t>Target: ≥ 18 months</t>
        </is>
      </c>
      <c r="K13" s="2" t="inlineStr">
        <is>
          <t>Target: ≥ 62%</t>
        </is>
      </c>
    </row>
    <row r="15" ht="8" customHeight="1"/>
    <row r="19">
      <c r="P19" s="25" t="inlineStr">
        <is>
          <t>Month</t>
        </is>
      </c>
      <c r="Q19" s="25" t="inlineStr">
        <is>
          <t>Revenue (SAR)</t>
        </is>
      </c>
      <c r="R19" s="25" t="inlineStr">
        <is>
          <t>Burn Rate (SAR)</t>
        </is>
      </c>
      <c r="S19" s="25" t="inlineStr">
        <is>
          <t>Gross Margin %</t>
        </is>
      </c>
    </row>
    <row r="20">
      <c r="P20" t="inlineStr">
        <is>
          <t>Jun-25</t>
        </is>
      </c>
      <c r="Q20" s="26" t="n">
        <v>85000</v>
      </c>
      <c r="R20" s="26" t="n">
        <v>180000</v>
      </c>
      <c r="S20" s="27" t="n">
        <v>0.624</v>
      </c>
    </row>
    <row r="21">
      <c r="P21" t="inlineStr">
        <is>
          <t>Jul-25</t>
        </is>
      </c>
      <c r="Q21" s="26" t="n">
        <v>95000</v>
      </c>
      <c r="R21" s="26" t="n">
        <v>188000</v>
      </c>
      <c r="S21" s="27" t="n">
        <v>0.621</v>
      </c>
    </row>
    <row r="22">
      <c r="P22" t="inlineStr">
        <is>
          <t>Aug-25</t>
        </is>
      </c>
      <c r="Q22" s="26" t="n">
        <v>110000</v>
      </c>
      <c r="R22" s="26" t="n">
        <v>192000</v>
      </c>
      <c r="S22" s="27" t="n">
        <v>0.618</v>
      </c>
    </row>
    <row r="23">
      <c r="P23" t="inlineStr">
        <is>
          <t>Sep-25</t>
        </is>
      </c>
      <c r="Q23" s="26" t="n">
        <v>125000</v>
      </c>
      <c r="R23" s="26" t="n">
        <v>195000</v>
      </c>
      <c r="S23" s="27" t="n">
        <v>0.616</v>
      </c>
    </row>
    <row r="24">
      <c r="P24" t="inlineStr">
        <is>
          <t>Oct-25</t>
        </is>
      </c>
      <c r="Q24" s="26" t="n">
        <v>138000</v>
      </c>
      <c r="R24" s="26" t="n">
        <v>198000</v>
      </c>
      <c r="S24" s="27" t="n">
        <v>0.623</v>
      </c>
    </row>
    <row r="25">
      <c r="P25" t="inlineStr">
        <is>
          <t>Nov-25</t>
        </is>
      </c>
      <c r="Q25" s="26" t="n">
        <v>152000</v>
      </c>
      <c r="R25" s="26" t="n">
        <v>202000</v>
      </c>
      <c r="S25" s="27" t="n">
        <v>0.618</v>
      </c>
    </row>
    <row r="26">
      <c r="P26" t="inlineStr">
        <is>
          <t>Dec-25</t>
        </is>
      </c>
      <c r="Q26" s="26" t="n">
        <v>170000</v>
      </c>
      <c r="R26" s="26" t="n">
        <v>205000</v>
      </c>
      <c r="S26" s="27" t="n">
        <v>0.618</v>
      </c>
    </row>
    <row r="27">
      <c r="P27" t="inlineStr">
        <is>
          <t>Jan-26</t>
        </is>
      </c>
      <c r="Q27" s="26" t="n">
        <v>188000</v>
      </c>
      <c r="R27" s="26" t="n">
        <v>208000</v>
      </c>
      <c r="S27" s="27" t="n">
        <v>0.617</v>
      </c>
    </row>
    <row r="28">
      <c r="P28" t="inlineStr">
        <is>
          <t>Feb-26</t>
        </is>
      </c>
      <c r="Q28" s="26" t="n">
        <v>205000</v>
      </c>
      <c r="R28" s="26" t="n">
        <v>210000</v>
      </c>
      <c r="S28" s="27" t="n">
        <v>0.62</v>
      </c>
    </row>
    <row r="29">
      <c r="P29" t="inlineStr">
        <is>
          <t>Mar-26</t>
        </is>
      </c>
      <c r="Q29" s="26" t="n">
        <v>225000</v>
      </c>
      <c r="R29" s="26" t="n">
        <v>213000</v>
      </c>
      <c r="S29" s="27" t="n">
        <v>0.622</v>
      </c>
    </row>
    <row r="30">
      <c r="P30" t="inlineStr">
        <is>
          <t>Apr-26</t>
        </is>
      </c>
      <c r="Q30" s="26" t="n">
        <v>248000</v>
      </c>
      <c r="R30" s="26" t="n">
        <v>218000</v>
      </c>
      <c r="S30" s="27" t="n">
        <v>0.621</v>
      </c>
    </row>
    <row r="31">
      <c r="P31" t="inlineStr">
        <is>
          <t>May-26</t>
        </is>
      </c>
      <c r="Q31" s="26" t="n">
        <v>270000</v>
      </c>
      <c r="R31" s="26" t="n">
        <v>222000</v>
      </c>
      <c r="S31" s="27" t="n">
        <v>0.622</v>
      </c>
    </row>
    <row r="34" ht="22" customHeight="1">
      <c r="A34" s="7" t="inlineStr">
        <is>
          <t>Top 5 Customers by Revenue — May 2026</t>
        </is>
      </c>
      <c r="G34" s="7" t="inlineStr">
        <is>
          <t>Top 5 Expense Lines — May 2026</t>
        </is>
      </c>
      <c r="M34" s="7" t="inlineStr">
        <is>
          <t>AR Aging Summary — May 2026</t>
        </is>
      </c>
    </row>
    <row r="35">
      <c r="A35" s="10" t="inlineStr">
        <is>
          <t>Rank</t>
        </is>
      </c>
      <c r="B35" s="10" t="inlineStr">
        <is>
          <t>Customer</t>
        </is>
      </c>
      <c r="C35" s="10" t="inlineStr">
        <is>
          <t>Type</t>
        </is>
      </c>
      <c r="D35" s="10" t="inlineStr">
        <is>
          <t>MRR (SAR)</t>
        </is>
      </c>
      <c r="E35" s="10" t="inlineStr">
        <is>
          <t>MoM Change</t>
        </is>
      </c>
      <c r="G35" s="10" t="inlineStr">
        <is>
          <t>CoA</t>
        </is>
      </c>
      <c r="H35" s="10" t="inlineStr">
        <is>
          <t>Expense</t>
        </is>
      </c>
      <c r="I35" s="10" t="inlineStr">
        <is>
          <t>Amount (SAR)</t>
        </is>
      </c>
      <c r="J35" s="10" t="inlineStr">
        <is>
          <t>% of Total</t>
        </is>
      </c>
      <c r="K35" s="10" t="inlineStr">
        <is>
          <t>MoM</t>
        </is>
      </c>
      <c r="M35" s="10" t="inlineStr">
        <is>
          <t>Aging Bucket</t>
        </is>
      </c>
      <c r="N35" s="10" t="inlineStr">
        <is>
          <t>Amount (SAR)</t>
        </is>
      </c>
      <c r="O35" s="10" t="inlineStr">
        <is>
          <t>Count</t>
        </is>
      </c>
      <c r="P35" s="10" t="inlineStr">
        <is>
          <t>Status</t>
        </is>
      </c>
    </row>
    <row r="36" ht="18" customHeight="1">
      <c r="A36" s="12" t="n">
        <v>1</v>
      </c>
      <c r="B36" s="11" t="inlineStr">
        <is>
          <t>Riyadh Flight Academy</t>
        </is>
      </c>
      <c r="C36" s="12" t="inlineStr">
        <is>
          <t>Academy Contract</t>
        </is>
      </c>
      <c r="D36" s="12" t="inlineStr">
        <is>
          <t>45,000 SAR</t>
        </is>
      </c>
      <c r="E36" s="12" t="inlineStr">
        <is>
          <t>+5%</t>
        </is>
      </c>
      <c r="G36" s="12" t="inlineStr">
        <is>
          <t>5200</t>
        </is>
      </c>
      <c r="H36" s="12" t="inlineStr">
        <is>
          <t>Salaries — Engineering</t>
        </is>
      </c>
      <c r="I36" s="12" t="inlineStr">
        <is>
          <t>90,000</t>
        </is>
      </c>
      <c r="J36" s="12" t="inlineStr">
        <is>
          <t>40.5%</t>
        </is>
      </c>
      <c r="K36" s="12" t="inlineStr">
        <is>
          <t>+0%</t>
        </is>
      </c>
      <c r="M36" s="12" t="inlineStr">
        <is>
          <t>Current (0-30 days)</t>
        </is>
      </c>
      <c r="N36" s="12" t="inlineStr">
        <is>
          <t>185,000 SAR</t>
        </is>
      </c>
      <c r="O36" s="12" t="inlineStr">
        <is>
          <t>8 invoices</t>
        </is>
      </c>
      <c r="P36" s="12" t="inlineStr">
        <is>
          <t>Good</t>
        </is>
      </c>
    </row>
    <row r="37" ht="18" customHeight="1">
      <c r="A37" s="16" t="n">
        <v>2</v>
      </c>
      <c r="B37" s="15" t="inlineStr">
        <is>
          <t>Jeddah Air Training Center</t>
        </is>
      </c>
      <c r="C37" s="16" t="inlineStr">
        <is>
          <t>Academy Contract</t>
        </is>
      </c>
      <c r="D37" s="16" t="inlineStr">
        <is>
          <t>38,000 SAR</t>
        </is>
      </c>
      <c r="E37" s="16" t="inlineStr">
        <is>
          <t>+12%</t>
        </is>
      </c>
      <c r="G37" s="16" t="inlineStr">
        <is>
          <t>5100</t>
        </is>
      </c>
      <c r="H37" s="16" t="inlineStr">
        <is>
          <t>COGS — Gemini API</t>
        </is>
      </c>
      <c r="I37" s="16" t="inlineStr">
        <is>
          <t>42,480</t>
        </is>
      </c>
      <c r="J37" s="16" t="inlineStr">
        <is>
          <t>19.1%</t>
        </is>
      </c>
      <c r="K37" s="16" t="inlineStr">
        <is>
          <t>+7%</t>
        </is>
      </c>
      <c r="M37" s="16" t="inlineStr">
        <is>
          <t>31-60 days</t>
        </is>
      </c>
      <c r="N37" s="16" t="inlineStr">
        <is>
          <t>42,000 SAR</t>
        </is>
      </c>
      <c r="O37" s="16" t="inlineStr">
        <is>
          <t>3 invoices</t>
        </is>
      </c>
      <c r="P37" s="16" t="inlineStr">
        <is>
          <t>Follow up</t>
        </is>
      </c>
    </row>
    <row r="38" ht="18" customHeight="1">
      <c r="A38" s="12" t="n">
        <v>3</v>
      </c>
      <c r="B38" s="11" t="inlineStr">
        <is>
          <t>SAUDIA Airlines (Pilot Pool)</t>
        </is>
      </c>
      <c r="C38" s="12" t="inlineStr">
        <is>
          <t>White-Label</t>
        </is>
      </c>
      <c r="D38" s="12" t="inlineStr">
        <is>
          <t>35,000 SAR</t>
        </is>
      </c>
      <c r="E38" s="12" t="inlineStr">
        <is>
          <t>New</t>
        </is>
      </c>
      <c r="G38" s="12" t="inlineStr">
        <is>
          <t>5400</t>
        </is>
      </c>
      <c r="H38" s="12" t="inlineStr">
        <is>
          <t>Marketing &amp; GTM</t>
        </is>
      </c>
      <c r="I38" s="12" t="inlineStr">
        <is>
          <t>40,000</t>
        </is>
      </c>
      <c r="J38" s="12" t="inlineStr">
        <is>
          <t>18.0%</t>
        </is>
      </c>
      <c r="K38" s="12" t="inlineStr">
        <is>
          <t>+11%</t>
        </is>
      </c>
      <c r="M38" s="12" t="inlineStr">
        <is>
          <t>61-90 days</t>
        </is>
      </c>
      <c r="N38" s="12" t="inlineStr">
        <is>
          <t>18,000 SAR</t>
        </is>
      </c>
      <c r="O38" s="12" t="inlineStr">
        <is>
          <t>1 invoice</t>
        </is>
      </c>
      <c r="P38" s="12" t="inlineStr">
        <is>
          <t>Urgent</t>
        </is>
      </c>
    </row>
    <row r="39" ht="18" customHeight="1">
      <c r="A39" s="16" t="n">
        <v>4</v>
      </c>
      <c r="B39" s="15" t="inlineStr">
        <is>
          <t>Individual Pro Subscribers (bulk)</t>
        </is>
      </c>
      <c r="C39" s="16" t="inlineStr">
        <is>
          <t>Pro Subscription</t>
        </is>
      </c>
      <c r="D39" s="16" t="inlineStr">
        <is>
          <t>28,000 SAR</t>
        </is>
      </c>
      <c r="E39" s="16" t="inlineStr">
        <is>
          <t>+8%</t>
        </is>
      </c>
      <c r="G39" s="16" t="inlineStr">
        <is>
          <t>5110</t>
        </is>
      </c>
      <c r="H39" s="16" t="inlineStr">
        <is>
          <t>COGS — Firebase</t>
        </is>
      </c>
      <c r="I39" s="16" t="inlineStr">
        <is>
          <t>18,880</t>
        </is>
      </c>
      <c r="J39" s="16" t="inlineStr">
        <is>
          <t>8.5%</t>
        </is>
      </c>
      <c r="K39" s="16" t="inlineStr">
        <is>
          <t>+7%</t>
        </is>
      </c>
      <c r="M39" s="16" t="inlineStr">
        <is>
          <t>&gt; 90 days</t>
        </is>
      </c>
      <c r="N39" s="16" t="inlineStr">
        <is>
          <t>0 SAR</t>
        </is>
      </c>
      <c r="O39" s="16" t="inlineStr">
        <is>
          <t>0 invoices</t>
        </is>
      </c>
      <c r="P39" s="16" t="inlineStr">
        <is>
          <t>None</t>
        </is>
      </c>
    </row>
    <row r="40" ht="18" customHeight="1">
      <c r="A40" s="12" t="n">
        <v>5</v>
      </c>
      <c r="B40" s="11" t="inlineStr">
        <is>
          <t>Emirates-affiliated Academy</t>
        </is>
      </c>
      <c r="C40" s="12" t="inlineStr">
        <is>
          <t>Academy Contract</t>
        </is>
      </c>
      <c r="D40" s="12" t="inlineStr">
        <is>
          <t>22,000 SAR</t>
        </is>
      </c>
      <c r="E40" s="12" t="inlineStr">
        <is>
          <t>+3%</t>
        </is>
      </c>
      <c r="G40" s="12" t="inlineStr">
        <is>
          <t>5300</t>
        </is>
      </c>
      <c r="H40" s="12" t="inlineStr">
        <is>
          <t>GOSI Employer</t>
        </is>
      </c>
      <c r="I40" s="12" t="inlineStr">
        <is>
          <t>18,480</t>
        </is>
      </c>
      <c r="J40" s="12" t="inlineStr">
        <is>
          <t>8.3%</t>
        </is>
      </c>
      <c r="K40" s="12" t="inlineStr">
        <is>
          <t>+0%</t>
        </is>
      </c>
      <c r="M40" s="28" t="inlineStr">
        <is>
          <t>Total AR</t>
        </is>
      </c>
      <c r="N40" s="28" t="inlineStr">
        <is>
          <t>245,000 SAR</t>
        </is>
      </c>
      <c r="O40" s="28" t="inlineStr">
        <is>
          <t>12 invoices</t>
        </is>
      </c>
      <c r="P40" s="28" t="inlineStr"/>
    </row>
  </sheetData>
  <mergeCells count="24">
    <mergeCell ref="K5:N6"/>
    <mergeCell ref="F13:I13"/>
    <mergeCell ref="A34:E34"/>
    <mergeCell ref="A4:D4"/>
    <mergeCell ref="K7:N7"/>
    <mergeCell ref="K10:N10"/>
    <mergeCell ref="A10:D10"/>
    <mergeCell ref="F5:I6"/>
    <mergeCell ref="A13:D13"/>
    <mergeCell ref="A1:T1"/>
    <mergeCell ref="K4:N4"/>
    <mergeCell ref="K11:N12"/>
    <mergeCell ref="K13:N13"/>
    <mergeCell ref="F4:I4"/>
    <mergeCell ref="M34:P34"/>
    <mergeCell ref="F10:I10"/>
    <mergeCell ref="A5:D6"/>
    <mergeCell ref="G34:K34"/>
    <mergeCell ref="F7:I7"/>
    <mergeCell ref="A7:D7"/>
    <mergeCell ref="A2:T2"/>
    <mergeCell ref="F11:I12"/>
    <mergeCell ref="Q4:T4"/>
    <mergeCell ref="A11:D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sheetData>
    <row r="1">
      <c r="A1" s="29" t="inlineStr">
        <is>
          <t>Raw Data — Do Not Edit (chart source)</t>
        </is>
      </c>
    </row>
    <row r="2">
      <c r="A2" t="inlineStr">
        <is>
          <t>Jun-25</t>
        </is>
      </c>
      <c r="B2" t="n">
        <v>85000</v>
      </c>
      <c r="C2" t="n">
        <v>180000</v>
      </c>
      <c r="D2" t="n">
        <v>0.624</v>
      </c>
    </row>
    <row r="3">
      <c r="A3" t="inlineStr">
        <is>
          <t>Jul-25</t>
        </is>
      </c>
      <c r="B3" t="n">
        <v>95000</v>
      </c>
      <c r="C3" t="n">
        <v>188000</v>
      </c>
      <c r="D3" t="n">
        <v>0.621</v>
      </c>
    </row>
    <row r="4">
      <c r="A4" t="inlineStr">
        <is>
          <t>Aug-25</t>
        </is>
      </c>
      <c r="B4" t="n">
        <v>110000</v>
      </c>
      <c r="C4" t="n">
        <v>192000</v>
      </c>
      <c r="D4" t="n">
        <v>0.618</v>
      </c>
    </row>
    <row r="5">
      <c r="A5" t="inlineStr">
        <is>
          <t>Sep-25</t>
        </is>
      </c>
      <c r="B5" t="n">
        <v>125000</v>
      </c>
      <c r="C5" t="n">
        <v>195000</v>
      </c>
      <c r="D5" t="n">
        <v>0.616</v>
      </c>
    </row>
    <row r="6">
      <c r="A6" t="inlineStr">
        <is>
          <t>Oct-25</t>
        </is>
      </c>
      <c r="B6" t="n">
        <v>138000</v>
      </c>
      <c r="C6" t="n">
        <v>198000</v>
      </c>
      <c r="D6" t="n">
        <v>0.623</v>
      </c>
    </row>
    <row r="7">
      <c r="A7" t="inlineStr">
        <is>
          <t>Nov-25</t>
        </is>
      </c>
      <c r="B7" t="n">
        <v>152000</v>
      </c>
      <c r="C7" t="n">
        <v>202000</v>
      </c>
      <c r="D7" t="n">
        <v>0.618</v>
      </c>
    </row>
    <row r="8">
      <c r="A8" t="inlineStr">
        <is>
          <t>Dec-25</t>
        </is>
      </c>
      <c r="B8" t="n">
        <v>170000</v>
      </c>
      <c r="C8" t="n">
        <v>205000</v>
      </c>
      <c r="D8" t="n">
        <v>0.618</v>
      </c>
    </row>
    <row r="9">
      <c r="A9" t="inlineStr">
        <is>
          <t>Jan-26</t>
        </is>
      </c>
      <c r="B9" t="n">
        <v>188000</v>
      </c>
      <c r="C9" t="n">
        <v>208000</v>
      </c>
      <c r="D9" t="n">
        <v>0.617</v>
      </c>
    </row>
    <row r="10">
      <c r="A10" t="inlineStr">
        <is>
          <t>Feb-26</t>
        </is>
      </c>
      <c r="B10" t="n">
        <v>205000</v>
      </c>
      <c r="C10" t="n">
        <v>210000</v>
      </c>
      <c r="D10" t="n">
        <v>0.62</v>
      </c>
    </row>
    <row r="11">
      <c r="A11" t="inlineStr">
        <is>
          <t>Mar-26</t>
        </is>
      </c>
      <c r="B11" t="n">
        <v>225000</v>
      </c>
      <c r="C11" t="n">
        <v>213000</v>
      </c>
      <c r="D11" t="n">
        <v>0.622</v>
      </c>
    </row>
    <row r="12">
      <c r="A12" t="inlineStr">
        <is>
          <t>Apr-26</t>
        </is>
      </c>
      <c r="B12" t="n">
        <v>248000</v>
      </c>
      <c r="C12" t="n">
        <v>218000</v>
      </c>
      <c r="D12" t="n">
        <v>0.621</v>
      </c>
    </row>
    <row r="13">
      <c r="A13" t="inlineStr">
        <is>
          <t>May-26</t>
        </is>
      </c>
      <c r="B13" t="n">
        <v>270000</v>
      </c>
      <c r="C13" t="n">
        <v>222000</v>
      </c>
      <c r="D13" t="n">
        <v>0.622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2026-05-05T03:37:29Z</dcterms:created>
  <dcterms:modified xmlns:dcterms="http://purl.org/dc/terms/" xmlns:xsi="http://www.w3.org/2001/XMLSchema-instance" xsi:type="dcterms:W3CDTF">2026-05-05T03:37:29Z</dcterms:modified>
</cp:coreProperties>
</file>